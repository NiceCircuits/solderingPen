
<file path=[Content_Types].xml><?xml version="1.0" encoding="utf-8"?>
<Types xmlns="http://schemas.openxmlformats.org/package/2006/content-types">
  <Default Extension="png" ContentType="image/png"/>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workbookPr/>
  <bookViews>
    <workbookView xWindow="0" yWindow="0" windowWidth="27615" windowHeight="15060" activeTab="4"/>
  </bookViews>
  <sheets>
    <sheet name="Summary" sheetId="1" r:id="rId1"/>
    <sheet name="Power supply" sheetId="2" r:id="rId2"/>
    <sheet name="Heater driver" sheetId="3" r:id="rId3"/>
    <sheet name="Sensor amplifier" sheetId="4" r:id="rId4"/>
    <sheet name="uC" sheetId="5" r:id="rId5"/>
    <sheet name="Other" sheetId="8" r:id="rId6"/>
    <sheet name="Notes" sheetId="6" r:id="rId7"/>
    <sheet name="blank" sheetId="7" r:id="rId8"/>
  </sheets>
  <definedNames>
    <definedName name="_xlnm._FilterDatabase" localSheetId="4" hidden="1">uC!$A$18:$H$38</definedName>
  </definedNames>
  <calcPr calcId="144525"/>
</workbook>
</file>

<file path=xl/calcChain.xml><?xml version="1.0" encoding="utf-8"?>
<calcChain xmlns="http://schemas.openxmlformats.org/spreadsheetml/2006/main">
  <c r="A4" i="3"/>
  <c r="B4"/>
  <c r="C4"/>
  <c r="C6"/>
  <c r="C8"/>
  <c r="C10"/>
  <c r="C12"/>
  <c r="C14"/>
  <c r="B22"/>
  <c r="C22"/>
  <c r="B27"/>
  <c r="C27"/>
  <c r="C29"/>
  <c r="B5" i="2"/>
  <c r="C5"/>
  <c r="F5"/>
  <c r="G5"/>
  <c r="B8"/>
  <c r="C8"/>
  <c r="C13"/>
  <c r="C15"/>
  <c r="C17"/>
  <c r="F12" i="4"/>
  <c r="H12"/>
  <c r="K12"/>
  <c r="M16"/>
  <c r="M17"/>
  <c r="C20"/>
  <c r="E20"/>
  <c r="J20"/>
  <c r="C22"/>
  <c r="C24"/>
  <c r="C27"/>
  <c r="E27"/>
  <c r="H27"/>
  <c r="L27"/>
  <c r="E28"/>
  <c r="H28"/>
  <c r="B21" i="1"/>
  <c r="A11" i="5"/>
</calcChain>
</file>

<file path=xl/sharedStrings.xml><?xml version="1.0" encoding="utf-8"?>
<sst xmlns="http://schemas.openxmlformats.org/spreadsheetml/2006/main" count="263" uniqueCount="190">
  <si>
    <t>Soldering pen</t>
  </si>
  <si>
    <t>For Weller RT tips</t>
  </si>
  <si>
    <t>Block diagram:</t>
  </si>
  <si>
    <t>High-side driver</t>
  </si>
  <si>
    <t>uC</t>
  </si>
  <si>
    <t>power supply</t>
  </si>
  <si>
    <t>12V in</t>
  </si>
  <si>
    <t>Weller RT tip</t>
  </si>
  <si>
    <t>heater</t>
  </si>
  <si>
    <t>sensor</t>
  </si>
  <si>
    <t>Op-amp</t>
  </si>
  <si>
    <t>Magnetic sensor</t>
  </si>
  <si>
    <t>RGB LED</t>
  </si>
  <si>
    <t>Potentiometer</t>
  </si>
  <si>
    <t>Buttons?</t>
  </si>
  <si>
    <t>Main assumptions:</t>
  </si>
  <si>
    <t>Tip rated voltage:</t>
  </si>
  <si>
    <t>V</t>
  </si>
  <si>
    <t>Tip rated power:</t>
  </si>
  <si>
    <t>Safety factor for tip resistance</t>
  </si>
  <si>
    <t>W</t>
  </si>
  <si>
    <t>Power supply:</t>
  </si>
  <si>
    <t>10-20V power supply - can be used with laptop power supply</t>
  </si>
  <si>
    <t>min.</t>
  </si>
  <si>
    <t>typ.</t>
  </si>
  <si>
    <t>max.</t>
  </si>
  <si>
    <t>Non-fully operational power supply</t>
  </si>
  <si>
    <t>uC is working, heater may be off</t>
  </si>
  <si>
    <t>Reverse power supply protection</t>
  </si>
  <si>
    <t>Ambient temperature:</t>
  </si>
  <si>
    <t>*C</t>
  </si>
  <si>
    <t>Solder temperature</t>
  </si>
  <si>
    <t>Output protection for:</t>
  </si>
  <si>
    <t>Short between any pins</t>
  </si>
  <si>
    <t>Open circuit on any pins</t>
  </si>
  <si>
    <t>Connection to external voltage?</t>
  </si>
  <si>
    <t>uC regulator</t>
  </si>
  <si>
    <t>Supply voltage range:</t>
  </si>
  <si>
    <t>Operational</t>
  </si>
  <si>
    <t>Non operational</t>
  </si>
  <si>
    <t>Diode or MOSFET can be used for reverse protection. As heater should be protected from reverse supply current, MOSFET will be used on the power supply input. It will be placed before uC regulator and heater driver.</t>
  </si>
  <si>
    <t>Tip heater resistance, nominal:</t>
  </si>
  <si>
    <t>Ω</t>
  </si>
  <si>
    <t>Safety factor</t>
  </si>
  <si>
    <t>Maximum input current (peak):</t>
  </si>
  <si>
    <t>A</t>
  </si>
  <si>
    <t>Regulator should withstand 30V. Simple 78L05/78L33 will withstand that.</t>
  </si>
  <si>
    <t>Reverse protection P MOSFET:</t>
  </si>
  <si>
    <t>IPD50P04P4-13</t>
  </si>
  <si>
    <t>Max on resistance:</t>
  </si>
  <si>
    <t>mΩ</t>
  </si>
  <si>
    <t>Heater driver</t>
  </si>
  <si>
    <t>Power supply</t>
  </si>
  <si>
    <t>Current on nominal voltage - PWM up to 100%, safety factor included</t>
  </si>
  <si>
    <t>Peak current on max. voltage</t>
  </si>
  <si>
    <t>Max. PWM on max. voltage</t>
  </si>
  <si>
    <t>Driver chosen:</t>
  </si>
  <si>
    <t>BTS5012SDA</t>
  </si>
  <si>
    <t>On-state resistance</t>
  </si>
  <si>
    <t>Power dissipation</t>
  </si>
  <si>
    <t>Rthja, open air, typical</t>
  </si>
  <si>
    <t>K/W</t>
  </si>
  <si>
    <t>Temperature rise at max power output</t>
  </si>
  <si>
    <t>Maximum temperature at max. ambient</t>
  </si>
  <si>
    <t>Driver provides short circuit protection and output current measurement.</t>
  </si>
  <si>
    <t>Sensor amplifier</t>
  </si>
  <si>
    <t>Input thermocouple: K, thermal coefficient:</t>
  </si>
  <si>
    <t>uV/*C</t>
  </si>
  <si>
    <t>Op-amp: single supply, precision, at least lower rail capable input</t>
  </si>
  <si>
    <t>Selected amplifier:</t>
  </si>
  <si>
    <t>MCP6051</t>
  </si>
  <si>
    <t>Offset voltage max. @25*C</t>
  </si>
  <si>
    <t>Input bias current max.</t>
  </si>
  <si>
    <t>uV</t>
  </si>
  <si>
    <t>nA</t>
  </si>
  <si>
    <t>Negligible</t>
  </si>
  <si>
    <t>Offset voltage temp. drift</t>
  </si>
  <si>
    <t>Offset voltage from temp.</t>
  </si>
  <si>
    <t>Offset voltage max. @whole temp. range</t>
  </si>
  <si>
    <t>@Tmin</t>
  </si>
  <si>
    <t>@Tmax</t>
  </si>
  <si>
    <t>Op-amp resistors</t>
  </si>
  <si>
    <t>Stability, short time</t>
  </si>
  <si>
    <t>Total error, short time, excl. tolerance</t>
  </si>
  <si>
    <t>tolerance</t>
  </si>
  <si>
    <t>temp. coef.</t>
  </si>
  <si>
    <t>Rfb</t>
  </si>
  <si>
    <t>kΩ</t>
  </si>
  <si>
    <t>ppm/K</t>
  </si>
  <si>
    <t>Rin</t>
  </si>
  <si>
    <t>Gain</t>
  </si>
  <si>
    <t>tolerance, excl. op-amp offset</t>
  </si>
  <si>
    <t>short time stability, excl. op-amp offset</t>
  </si>
  <si>
    <t>Tout</t>
  </si>
  <si>
    <t>Tamb.</t>
  </si>
  <si>
    <t>min</t>
  </si>
  <si>
    <t>Vout @Tamb=min,Tout=max.</t>
  </si>
  <si>
    <t>short time error, incl. op-amp offset</t>
  </si>
  <si>
    <t>tolerance error</t>
  </si>
  <si>
    <t>Vout max.</t>
  </si>
  <si>
    <t>Pins used:</t>
  </si>
  <si>
    <t>Flash</t>
  </si>
  <si>
    <t>32 kB</t>
  </si>
  <si>
    <t>heater driver</t>
  </si>
  <si>
    <t>SRAM</t>
  </si>
  <si>
    <t>6 kB</t>
  </si>
  <si>
    <t>Timers</t>
  </si>
  <si>
    <t>LED</t>
  </si>
  <si>
    <t>I2C</t>
  </si>
  <si>
    <t>potentiometer</t>
  </si>
  <si>
    <t>USART</t>
  </si>
  <si>
    <t>Vin measurement</t>
  </si>
  <si>
    <t>12b ADC</t>
  </si>
  <si>
    <t>GPIO</t>
  </si>
  <si>
    <t>Total</t>
  </si>
  <si>
    <t>uC selected:</t>
  </si>
  <si>
    <t>STM32F070F6</t>
  </si>
  <si>
    <t>in TSSOP20 package</t>
  </si>
  <si>
    <t>pinout STM32F070F6</t>
  </si>
  <si>
    <t>pin</t>
  </si>
  <si>
    <t>main function</t>
  </si>
  <si>
    <t>ADC</t>
  </si>
  <si>
    <t>PWM</t>
  </si>
  <si>
    <t>UART</t>
  </si>
  <si>
    <t>other functions</t>
  </si>
  <si>
    <t>signal</t>
  </si>
  <si>
    <t>BOOT0</t>
  </si>
  <si>
    <t>boot0</t>
  </si>
  <si>
    <t>PF0</t>
  </si>
  <si>
    <t>I2C1_SDA</t>
  </si>
  <si>
    <t>OSC_IN</t>
  </si>
  <si>
    <t>free</t>
  </si>
  <si>
    <t>PF1</t>
  </si>
  <si>
    <t>I2C1_SCL</t>
  </si>
  <si>
    <t>OSC_OUT</t>
  </si>
  <si>
    <t>NRST</t>
  </si>
  <si>
    <t>reset</t>
  </si>
  <si>
    <t>VDDA</t>
  </si>
  <si>
    <t>PA0</t>
  </si>
  <si>
    <t>ADC_IN0</t>
  </si>
  <si>
    <t>vin_sense_sig</t>
  </si>
  <si>
    <t>PA1</t>
  </si>
  <si>
    <t>ADC_IN1</t>
  </si>
  <si>
    <t>driver_fb_sig</t>
  </si>
  <si>
    <t>PA2</t>
  </si>
  <si>
    <t>ADC_IN2</t>
  </si>
  <si>
    <t>USART2_TX</t>
  </si>
  <si>
    <t>sensor_pullup_cmd</t>
  </si>
  <si>
    <t>PA3</t>
  </si>
  <si>
    <t>ADC_IN3</t>
  </si>
  <si>
    <t>USART2_RX</t>
  </si>
  <si>
    <t>sensor_sig</t>
  </si>
  <si>
    <t>PA4</t>
  </si>
  <si>
    <t>ADC_IN4</t>
  </si>
  <si>
    <t>TIM14_CH1</t>
  </si>
  <si>
    <t>driver_cmd</t>
  </si>
  <si>
    <t>PA5</t>
  </si>
  <si>
    <t>ADC_IN5</t>
  </si>
  <si>
    <t>potentiometer_sig</t>
  </si>
  <si>
    <t>PA6</t>
  </si>
  <si>
    <t>ADC_IN6</t>
  </si>
  <si>
    <r>
      <t>TIM3_CH1</t>
    </r>
    <r>
      <rPr>
        <sz val="10"/>
        <color indexed="8"/>
        <rFont val="Times New Roman"/>
        <charset val="238"/>
      </rPr>
      <t xml:space="preserve">
TIM16_CH1</t>
    </r>
  </si>
  <si>
    <t>led_R_cmd</t>
  </si>
  <si>
    <t>PA7</t>
  </si>
  <si>
    <t>ADC_IN7</t>
  </si>
  <si>
    <r>
      <t>TIM3_CH2</t>
    </r>
    <r>
      <rPr>
        <sz val="10"/>
        <color indexed="8"/>
        <rFont val="Times New Roman"/>
        <charset val="238"/>
      </rPr>
      <t xml:space="preserve">
TIM14_CH1
TIM1_CH1N
TIM17_CH1</t>
    </r>
  </si>
  <si>
    <t>led_G_cmd</t>
  </si>
  <si>
    <t>PB1</t>
  </si>
  <si>
    <t>ADC_IN9</t>
  </si>
  <si>
    <r>
      <t>TIM3_CH4</t>
    </r>
    <r>
      <rPr>
        <sz val="10"/>
        <color indexed="8"/>
        <rFont val="Times New Roman"/>
        <charset val="238"/>
      </rPr>
      <t xml:space="preserve">
TIM14_CH1
TIM1_CH3N</t>
    </r>
  </si>
  <si>
    <t>led_B_cmd</t>
  </si>
  <si>
    <t>VSS</t>
  </si>
  <si>
    <t>VDD</t>
  </si>
  <si>
    <t>PA9/PA11</t>
  </si>
  <si>
    <t>TIM1_CH2
TIM1_CH4</t>
  </si>
  <si>
    <t>USART1_TX</t>
  </si>
  <si>
    <t>SCL</t>
  </si>
  <si>
    <t>PA10/PA12</t>
  </si>
  <si>
    <t>TIM1_CH3</t>
  </si>
  <si>
    <t>USART1_RX</t>
  </si>
  <si>
    <t>SDA</t>
  </si>
  <si>
    <t>PA13</t>
  </si>
  <si>
    <t>SWDIO</t>
  </si>
  <si>
    <t>PA14</t>
  </si>
  <si>
    <t>SWCLK</t>
  </si>
  <si>
    <t>Selected potentiometer is CA6XVSMD-10KA2525. It's basically a trimmer, but with longer mechanical life (1000 cycles) than standard trimmers (100 cycles). It has also a couple of safts and thumbweels available.</t>
  </si>
  <si>
    <t>6001 type thumbwheel is selected to ensure that change of temperature setting is available but not too easy.</t>
  </si>
  <si>
    <t>Read temperature when heater is off</t>
  </si>
  <si>
    <t>Thermocouple is probably type D with cold junction compensation</t>
  </si>
  <si>
    <t>Title</t>
  </si>
</sst>
</file>

<file path=xl/styles.xml><?xml version="1.0" encoding="utf-8"?>
<styleSheet xmlns="http://schemas.openxmlformats.org/spreadsheetml/2006/main">
  <numFmts count="4">
    <numFmt numFmtId="178" formatCode="0_ "/>
    <numFmt numFmtId="179" formatCode="0.0%"/>
    <numFmt numFmtId="180" formatCode="0.00_ "/>
    <numFmt numFmtId="181" formatCode="0.0_ "/>
  </numFmts>
  <fonts count="9">
    <font>
      <sz val="12"/>
      <name val="Times New Roman"/>
      <charset val="238"/>
    </font>
    <font>
      <sz val="10"/>
      <name val="Times New Roman"/>
      <charset val="238"/>
    </font>
    <font>
      <b/>
      <sz val="12"/>
      <name val="Times New Roman"/>
      <charset val="238"/>
    </font>
    <font>
      <b/>
      <sz val="10"/>
      <name val="Times New Roman"/>
      <charset val="238"/>
    </font>
    <font>
      <sz val="10"/>
      <color indexed="13"/>
      <name val="Times New Roman"/>
      <charset val="238"/>
    </font>
    <font>
      <i/>
      <sz val="10"/>
      <color indexed="8"/>
      <name val="Times New Roman"/>
      <charset val="238"/>
    </font>
    <font>
      <sz val="10"/>
      <color indexed="8"/>
      <name val="Times New Roman"/>
      <charset val="238"/>
    </font>
    <font>
      <b/>
      <sz val="10"/>
      <color indexed="8"/>
      <name val="Times New Roman"/>
      <charset val="238"/>
    </font>
    <font>
      <sz val="12"/>
      <name val="Times New Roman"/>
      <charset val="238"/>
    </font>
  </fonts>
  <fills count="8">
    <fill>
      <patternFill patternType="none"/>
    </fill>
    <fill>
      <patternFill patternType="gray125"/>
    </fill>
    <fill>
      <patternFill patternType="solid">
        <fgColor indexed="51"/>
        <bgColor indexed="64"/>
      </patternFill>
    </fill>
    <fill>
      <patternFill patternType="solid">
        <fgColor indexed="9"/>
        <bgColor indexed="64"/>
      </patternFill>
    </fill>
    <fill>
      <patternFill patternType="solid">
        <fgColor indexed="17"/>
        <bgColor indexed="64"/>
      </patternFill>
    </fill>
    <fill>
      <patternFill patternType="solid">
        <fgColor indexed="42"/>
        <bgColor indexed="64"/>
      </patternFill>
    </fill>
    <fill>
      <patternFill patternType="solid">
        <fgColor indexed="43"/>
        <bgColor indexed="64"/>
      </patternFill>
    </fill>
    <fill>
      <patternFill patternType="solid">
        <fgColor indexed="22"/>
        <bgColor indexed="64"/>
      </patternFill>
    </fill>
  </fills>
  <borders count="43">
    <border>
      <left/>
      <right/>
      <top/>
      <bottom/>
      <diagonal/>
    </border>
    <border>
      <left/>
      <right/>
      <top style="medium">
        <color indexed="64"/>
      </top>
      <bottom/>
      <diagonal/>
    </border>
    <border>
      <left style="thin">
        <color indexed="64"/>
      </left>
      <right/>
      <top style="thin">
        <color indexed="64"/>
      </top>
      <bottom style="thin">
        <color indexed="64"/>
      </bottom>
      <diagonal/>
    </border>
    <border>
      <left style="thin">
        <color indexed="9"/>
      </left>
      <right style="thin">
        <color indexed="9"/>
      </right>
      <top style="thin">
        <color indexed="9"/>
      </top>
      <bottom style="thin">
        <color indexed="13"/>
      </bottom>
      <diagonal/>
    </border>
    <border>
      <left style="thin">
        <color indexed="9"/>
      </left>
      <right style="thin">
        <color indexed="9"/>
      </right>
      <top style="thin">
        <color indexed="13"/>
      </top>
      <bottom style="thin">
        <color indexed="9"/>
      </bottom>
      <diagonal/>
    </border>
    <border>
      <left style="thin">
        <color indexed="9"/>
      </left>
      <right style="thin">
        <color indexed="9"/>
      </right>
      <top style="thin">
        <color indexed="9"/>
      </top>
      <bottom style="thin">
        <color indexed="9"/>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diagonalUp="1">
      <left/>
      <right/>
      <top/>
      <bottom/>
      <diagonal style="medium">
        <color indexed="64"/>
      </diagonal>
    </border>
    <border>
      <left/>
      <right style="medium">
        <color indexed="64"/>
      </right>
      <top style="medium">
        <color indexed="64"/>
      </top>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top style="thin">
        <color indexed="64"/>
      </top>
      <bottom/>
      <diagonal/>
    </border>
    <border diagonalDown="1">
      <left/>
      <right/>
      <top/>
      <bottom/>
      <diagonal style="medium">
        <color indexed="64"/>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diagonalUp="1">
      <left/>
      <right/>
      <top/>
      <bottom/>
      <diagonal style="thin">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top style="medium">
        <color indexed="64"/>
      </top>
      <bottom/>
      <diagonal/>
    </border>
    <border>
      <left style="thin">
        <color indexed="64"/>
      </left>
      <right/>
      <top style="thin">
        <color indexed="64"/>
      </top>
      <bottom/>
      <diagonal/>
    </border>
    <border>
      <left style="medium">
        <color indexed="64"/>
      </left>
      <right/>
      <top/>
      <bottom/>
      <diagonal/>
    </border>
    <border>
      <left/>
      <right style="medium">
        <color indexed="64"/>
      </right>
      <top/>
      <bottom style="thin">
        <color indexed="64"/>
      </bottom>
      <diagonal/>
    </border>
    <border>
      <left/>
      <right style="medium">
        <color indexed="64"/>
      </right>
      <top/>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alignment vertical="center"/>
    </xf>
    <xf numFmtId="9" fontId="8" fillId="0" borderId="0" applyFont="0" applyFill="0" applyBorder="0" applyAlignment="0" applyProtection="0">
      <alignment vertical="center"/>
    </xf>
  </cellStyleXfs>
  <cellXfs count="90">
    <xf numFmtId="0" fontId="0" fillId="0" borderId="0" xfId="0">
      <alignment vertical="center"/>
    </xf>
    <xf numFmtId="0" fontId="1" fillId="0" borderId="0" xfId="0" applyFont="1">
      <alignment vertical="center"/>
    </xf>
    <xf numFmtId="0" fontId="2" fillId="0" borderId="0" xfId="0" applyFont="1">
      <alignment vertical="center"/>
    </xf>
    <xf numFmtId="0" fontId="1" fillId="0" borderId="0" xfId="0" applyFont="1" applyAlignment="1">
      <alignment horizontal="right" vertical="center"/>
    </xf>
    <xf numFmtId="0" fontId="1" fillId="0" borderId="0" xfId="0" applyFont="1" applyBorder="1">
      <alignment vertical="center"/>
    </xf>
    <xf numFmtId="0" fontId="1" fillId="0" borderId="1" xfId="0" applyFont="1" applyBorder="1">
      <alignment vertical="center"/>
    </xf>
    <xf numFmtId="0" fontId="3" fillId="0" borderId="1" xfId="0" applyFont="1" applyBorder="1">
      <alignment vertical="center"/>
    </xf>
    <xf numFmtId="0" fontId="1" fillId="2" borderId="2" xfId="0" applyFont="1" applyFill="1" applyBorder="1">
      <alignment vertical="center"/>
    </xf>
    <xf numFmtId="0" fontId="3" fillId="0" borderId="0" xfId="0" applyFont="1">
      <alignment vertical="center"/>
    </xf>
    <xf numFmtId="0" fontId="4" fillId="3" borderId="3" xfId="0" applyNumberFormat="1" applyFont="1" applyFill="1" applyBorder="1">
      <alignment vertical="center"/>
    </xf>
    <xf numFmtId="0" fontId="4" fillId="3" borderId="3" xfId="0" applyFont="1" applyFill="1" applyBorder="1">
      <alignment vertical="center"/>
    </xf>
    <xf numFmtId="0" fontId="5" fillId="4" borderId="4" xfId="0" applyNumberFormat="1" applyFont="1" applyFill="1" applyBorder="1">
      <alignment vertical="center"/>
    </xf>
    <xf numFmtId="0" fontId="5" fillId="2" borderId="4" xfId="0" applyNumberFormat="1" applyFont="1" applyFill="1" applyBorder="1">
      <alignment vertical="center"/>
    </xf>
    <xf numFmtId="0" fontId="5" fillId="4" borderId="4" xfId="0" applyFont="1" applyFill="1" applyBorder="1">
      <alignment vertical="center"/>
    </xf>
    <xf numFmtId="0" fontId="6" fillId="0" borderId="5" xfId="0" applyNumberFormat="1" applyFont="1" applyFill="1" applyBorder="1">
      <alignment vertical="center"/>
    </xf>
    <xf numFmtId="0" fontId="6" fillId="5" borderId="5" xfId="0" applyFont="1" applyFill="1" applyBorder="1">
      <alignment vertical="center"/>
    </xf>
    <xf numFmtId="0" fontId="6" fillId="4" borderId="5" xfId="0" applyNumberFormat="1" applyFont="1" applyFill="1" applyBorder="1">
      <alignment vertical="center"/>
    </xf>
    <xf numFmtId="0" fontId="5" fillId="0" borderId="5" xfId="0" applyNumberFormat="1" applyFont="1" applyFill="1" applyBorder="1">
      <alignment vertical="center"/>
    </xf>
    <xf numFmtId="0" fontId="5" fillId="2" borderId="5" xfId="0" applyNumberFormat="1" applyFont="1" applyFill="1" applyBorder="1">
      <alignment vertical="center"/>
    </xf>
    <xf numFmtId="0" fontId="5" fillId="0" borderId="5" xfId="0" applyFont="1" applyFill="1" applyBorder="1">
      <alignment vertical="center"/>
    </xf>
    <xf numFmtId="0" fontId="5" fillId="4" borderId="5" xfId="0" applyNumberFormat="1" applyFont="1" applyFill="1" applyBorder="1">
      <alignment vertical="center"/>
    </xf>
    <xf numFmtId="0" fontId="5" fillId="4" borderId="5" xfId="0" applyFont="1" applyFill="1" applyBorder="1">
      <alignment vertical="center"/>
    </xf>
    <xf numFmtId="0" fontId="6" fillId="2" borderId="5" xfId="0" applyNumberFormat="1" applyFont="1" applyFill="1" applyBorder="1">
      <alignment vertical="center"/>
    </xf>
    <xf numFmtId="0" fontId="6" fillId="0" borderId="5" xfId="0" applyFont="1" applyFill="1" applyBorder="1">
      <alignment vertical="center"/>
    </xf>
    <xf numFmtId="0" fontId="6" fillId="4" borderId="5" xfId="0" applyFont="1" applyFill="1" applyBorder="1">
      <alignment vertical="center"/>
    </xf>
    <xf numFmtId="0" fontId="6" fillId="6" borderId="5" xfId="0" applyNumberFormat="1" applyFont="1" applyFill="1" applyBorder="1">
      <alignment vertical="center"/>
    </xf>
    <xf numFmtId="0" fontId="7" fillId="2" borderId="5" xfId="0" applyNumberFormat="1" applyFont="1" applyFill="1" applyBorder="1" applyAlignment="1">
      <alignment vertical="center" wrapText="1"/>
    </xf>
    <xf numFmtId="0" fontId="6" fillId="4" borderId="5" xfId="0" applyNumberFormat="1" applyFont="1" applyFill="1" applyBorder="1" applyAlignment="1">
      <alignment vertical="center" wrapText="1"/>
    </xf>
    <xf numFmtId="0" fontId="1" fillId="2" borderId="6" xfId="0" applyFont="1" applyFill="1" applyBorder="1">
      <alignment vertical="center"/>
    </xf>
    <xf numFmtId="178" fontId="1" fillId="7" borderId="6" xfId="0" applyNumberFormat="1" applyFont="1" applyFill="1" applyBorder="1">
      <alignment vertical="center"/>
    </xf>
    <xf numFmtId="0" fontId="1" fillId="7" borderId="6" xfId="0" applyFont="1" applyFill="1" applyBorder="1">
      <alignment vertical="center"/>
    </xf>
    <xf numFmtId="179" fontId="1" fillId="2" borderId="6" xfId="0" applyNumberFormat="1" applyFont="1" applyFill="1" applyBorder="1">
      <alignment vertical="center"/>
    </xf>
    <xf numFmtId="0" fontId="1" fillId="2" borderId="6" xfId="0" applyNumberFormat="1" applyFont="1" applyFill="1" applyBorder="1">
      <alignment vertical="center"/>
    </xf>
    <xf numFmtId="179" fontId="1" fillId="7" borderId="6" xfId="1" applyNumberFormat="1" applyFont="1" applyFill="1" applyBorder="1">
      <alignment vertical="center"/>
    </xf>
    <xf numFmtId="2" fontId="1" fillId="7" borderId="6" xfId="0" applyNumberFormat="1" applyFont="1" applyFill="1" applyBorder="1">
      <alignment vertical="center"/>
    </xf>
    <xf numFmtId="180" fontId="1" fillId="7" borderId="6" xfId="0" applyNumberFormat="1" applyFont="1" applyFill="1" applyBorder="1">
      <alignment vertical="center"/>
    </xf>
    <xf numFmtId="181" fontId="1" fillId="7" borderId="6" xfId="0" applyNumberFormat="1" applyFont="1" applyFill="1" applyBorder="1">
      <alignment vertical="center"/>
    </xf>
    <xf numFmtId="9" fontId="1" fillId="7" borderId="6" xfId="0" applyNumberFormat="1" applyFont="1" applyFill="1" applyBorder="1">
      <alignment vertical="center"/>
    </xf>
    <xf numFmtId="2" fontId="1" fillId="7" borderId="6" xfId="0" applyNumberFormat="1" applyFont="1" applyFill="1" applyBorder="1" applyAlignment="1">
      <alignment horizontal="right" vertical="center"/>
    </xf>
    <xf numFmtId="1" fontId="1" fillId="7" borderId="6" xfId="0" applyNumberFormat="1" applyFont="1" applyFill="1" applyBorder="1" applyAlignment="1">
      <alignment horizontal="right" vertical="center"/>
    </xf>
    <xf numFmtId="0" fontId="1" fillId="0" borderId="7" xfId="0" applyFont="1" applyBorder="1">
      <alignment vertical="center"/>
    </xf>
    <xf numFmtId="0" fontId="1" fillId="0" borderId="8" xfId="0" applyFont="1" applyBorder="1">
      <alignment vertical="center"/>
    </xf>
    <xf numFmtId="0" fontId="1" fillId="0" borderId="11" xfId="0" applyFont="1" applyBorder="1">
      <alignment vertical="center"/>
    </xf>
    <xf numFmtId="0" fontId="1" fillId="0" borderId="15" xfId="0" applyFont="1" applyBorder="1">
      <alignment vertical="center"/>
    </xf>
    <xf numFmtId="0" fontId="1" fillId="0" borderId="16" xfId="0" applyFont="1" applyBorder="1">
      <alignment vertical="center"/>
    </xf>
    <xf numFmtId="0" fontId="1" fillId="0" borderId="20" xfId="0" applyNumberFormat="1" applyFont="1" applyFill="1" applyBorder="1">
      <alignment vertical="center"/>
    </xf>
    <xf numFmtId="9" fontId="1" fillId="2" borderId="6" xfId="0" applyNumberFormat="1" applyFont="1" applyFill="1" applyBorder="1">
      <alignment vertical="center"/>
    </xf>
    <xf numFmtId="0" fontId="1" fillId="2" borderId="27" xfId="0" applyFont="1" applyFill="1" applyBorder="1">
      <alignment vertical="center"/>
    </xf>
    <xf numFmtId="0" fontId="1" fillId="0" borderId="35" xfId="0" applyFont="1" applyBorder="1">
      <alignment vertical="center"/>
    </xf>
    <xf numFmtId="0" fontId="1" fillId="0" borderId="0" xfId="0" applyFont="1" applyAlignment="1">
      <alignment horizontal="center" vertical="center"/>
    </xf>
    <xf numFmtId="0" fontId="1" fillId="0" borderId="9" xfId="0" applyFont="1" applyBorder="1" applyAlignment="1">
      <alignment horizontal="center" vertical="center" wrapText="1"/>
    </xf>
    <xf numFmtId="0" fontId="1" fillId="0" borderId="12" xfId="0" applyFont="1" applyBorder="1" applyAlignment="1">
      <alignment horizontal="center" vertical="center" wrapText="1"/>
    </xf>
    <xf numFmtId="0" fontId="1" fillId="0" borderId="19" xfId="0" applyFont="1" applyBorder="1" applyAlignment="1">
      <alignment horizontal="center" vertical="center" wrapText="1"/>
    </xf>
    <xf numFmtId="0" fontId="1" fillId="0" borderId="18" xfId="0" applyFont="1" applyBorder="1" applyAlignment="1">
      <alignment horizontal="center" vertical="center" wrapText="1"/>
    </xf>
    <xf numFmtId="0" fontId="1" fillId="0" borderId="1"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0" fontId="1" fillId="0" borderId="9" xfId="0" applyFont="1" applyBorder="1" applyAlignment="1">
      <alignment horizontal="center" vertical="center"/>
    </xf>
    <xf numFmtId="0" fontId="1" fillId="0" borderId="28" xfId="0" applyFont="1" applyBorder="1" applyAlignment="1">
      <alignment horizontal="center" vertical="center"/>
    </xf>
    <xf numFmtId="0" fontId="1" fillId="0" borderId="10" xfId="0" applyFont="1" applyBorder="1" applyAlignment="1">
      <alignment horizontal="center" vertical="center"/>
    </xf>
    <xf numFmtId="0" fontId="1" fillId="0" borderId="13" xfId="0" applyFont="1" applyBorder="1" applyAlignment="1">
      <alignment horizontal="center" vertical="center"/>
    </xf>
    <xf numFmtId="0" fontId="1" fillId="0" borderId="29" xfId="0" applyFont="1" applyBorder="1" applyAlignment="1">
      <alignment horizontal="center" vertical="center"/>
    </xf>
    <xf numFmtId="0" fontId="1" fillId="0" borderId="14" xfId="0" applyFont="1" applyBorder="1" applyAlignment="1">
      <alignment horizontal="center" vertical="center"/>
    </xf>
    <xf numFmtId="0" fontId="1" fillId="0" borderId="24" xfId="0" applyFont="1" applyBorder="1" applyAlignment="1">
      <alignment horizontal="center" vertical="center"/>
    </xf>
    <xf numFmtId="0" fontId="1" fillId="0" borderId="33" xfId="0" applyFont="1" applyBorder="1" applyAlignment="1">
      <alignment horizontal="center" vertical="center"/>
    </xf>
    <xf numFmtId="0" fontId="1" fillId="0" borderId="34" xfId="0" applyFont="1" applyBorder="1" applyAlignment="1">
      <alignment horizontal="center" vertical="center"/>
    </xf>
    <xf numFmtId="0" fontId="1" fillId="0" borderId="26" xfId="0" applyFont="1" applyBorder="1" applyAlignment="1">
      <alignment horizontal="center" vertical="center"/>
    </xf>
    <xf numFmtId="0" fontId="1" fillId="0" borderId="37" xfId="0" applyFont="1" applyBorder="1" applyAlignment="1">
      <alignment horizontal="center" vertical="center" wrapText="1"/>
    </xf>
    <xf numFmtId="0" fontId="1" fillId="0" borderId="41" xfId="0" applyFont="1" applyBorder="1" applyAlignment="1">
      <alignment horizontal="center" vertical="center" wrapText="1"/>
    </xf>
    <xf numFmtId="0" fontId="1" fillId="0" borderId="42" xfId="0" applyFont="1" applyBorder="1" applyAlignment="1">
      <alignment horizontal="center" vertical="center" wrapText="1"/>
    </xf>
    <xf numFmtId="0" fontId="1" fillId="0" borderId="36" xfId="0" applyFont="1" applyBorder="1" applyAlignment="1">
      <alignment horizontal="center" vertical="center" wrapText="1"/>
    </xf>
    <xf numFmtId="0" fontId="1" fillId="0" borderId="38" xfId="0" applyFont="1" applyBorder="1" applyAlignment="1">
      <alignment horizontal="center" vertical="center" wrapText="1"/>
    </xf>
    <xf numFmtId="0" fontId="1" fillId="0" borderId="39" xfId="0" applyFont="1" applyBorder="1" applyAlignment="1">
      <alignment horizontal="center" vertical="center" wrapText="1"/>
    </xf>
    <xf numFmtId="0" fontId="1" fillId="0" borderId="40" xfId="0" applyFont="1" applyBorder="1" applyAlignment="1">
      <alignment horizontal="center" vertical="center" wrapText="1"/>
    </xf>
    <xf numFmtId="0" fontId="1" fillId="0" borderId="21" xfId="0" applyFont="1" applyBorder="1" applyAlignment="1">
      <alignment horizontal="center" vertical="center" wrapText="1"/>
    </xf>
    <xf numFmtId="0" fontId="1" fillId="0" borderId="22" xfId="0" applyFont="1" applyBorder="1" applyAlignment="1">
      <alignment horizontal="center" vertical="center" wrapText="1"/>
    </xf>
    <xf numFmtId="0" fontId="1" fillId="0" borderId="23" xfId="0" applyFont="1" applyBorder="1" applyAlignment="1">
      <alignment horizontal="center" vertical="center" wrapText="1"/>
    </xf>
    <xf numFmtId="0" fontId="1" fillId="0" borderId="24" xfId="0" applyFont="1" applyBorder="1" applyAlignment="1">
      <alignment horizontal="center" vertical="center" wrapText="1"/>
    </xf>
    <xf numFmtId="0" fontId="1" fillId="0" borderId="25" xfId="0" applyFont="1" applyBorder="1" applyAlignment="1">
      <alignment horizontal="center" vertical="center" wrapText="1"/>
    </xf>
    <xf numFmtId="0" fontId="1" fillId="0" borderId="26" xfId="0" applyFont="1" applyBorder="1" applyAlignment="1">
      <alignment horizontal="center" vertical="center" wrapText="1"/>
    </xf>
    <xf numFmtId="0" fontId="1" fillId="2" borderId="6" xfId="0" applyFont="1" applyFill="1" applyBorder="1">
      <alignment vertical="center"/>
    </xf>
    <xf numFmtId="0" fontId="1" fillId="0" borderId="0" xfId="0" applyFont="1" applyAlignment="1">
      <alignment vertical="center" wrapText="1"/>
    </xf>
    <xf numFmtId="0" fontId="1" fillId="0" borderId="0" xfId="0" applyFont="1">
      <alignment vertical="center"/>
    </xf>
    <xf numFmtId="0" fontId="1" fillId="2" borderId="2" xfId="0" applyFont="1" applyFill="1" applyBorder="1">
      <alignment vertical="center"/>
    </xf>
    <xf numFmtId="0" fontId="3" fillId="0" borderId="0" xfId="0" applyFont="1">
      <alignment vertical="center"/>
    </xf>
  </cellXfs>
  <cellStyles count="2">
    <cellStyle name="Normal" xfId="0" builtinId="0"/>
    <cellStyle name="Percent" xfId="1"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4F81BD"/>
      <rgbColor rgb="00DBE5F1"/>
      <rgbColor rgb="00CCCCCC"/>
      <rgbColor rgb="004BACC6"/>
      <rgbColor rgb="00FFFFFF"/>
      <rgbColor rgb="00D0E3EA"/>
      <rgbColor rgb="00E9F1F5"/>
      <rgbColor rgb="00E7E7E7"/>
      <rgbColor rgb="00B8CCE4"/>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9</xdr:col>
      <xdr:colOff>228600</xdr:colOff>
      <xdr:row>4</xdr:row>
      <xdr:rowOff>19050</xdr:rowOff>
    </xdr:from>
    <xdr:to>
      <xdr:col>17</xdr:col>
      <xdr:colOff>295275</xdr:colOff>
      <xdr:row>12</xdr:row>
      <xdr:rowOff>38100</xdr:rowOff>
    </xdr:to>
    <xdr:pic>
      <xdr:nvPicPr>
        <xdr:cNvPr id="6147" name="Picture 3"/>
        <xdr:cNvPicPr>
          <a:picLocks noChangeAspect="1" noChangeArrowheads="1"/>
        </xdr:cNvPicPr>
      </xdr:nvPicPr>
      <xdr:blipFill>
        <a:blip xmlns:r="http://schemas.openxmlformats.org/officeDocument/2006/relationships" r:embed="rId1" cstate="print"/>
        <a:srcRect/>
        <a:stretch>
          <a:fillRect/>
        </a:stretch>
      </xdr:blipFill>
      <xdr:spPr bwMode="auto">
        <a:xfrm>
          <a:off x="3228975" y="704850"/>
          <a:ext cx="2733675" cy="1314450"/>
        </a:xfrm>
        <a:prstGeom prst="rect">
          <a:avLst/>
        </a:prstGeom>
        <a:noFill/>
        <a:ln w="9525" cmpd="sng">
          <a:noFill/>
          <a:miter lim="800000"/>
          <a:headEnd/>
          <a:tailEnd/>
        </a:ln>
      </xdr:spPr>
    </xdr:pic>
    <xdr:clientData/>
  </xdr:twoCellAnchor>
  <xdr:twoCellAnchor>
    <xdr:from>
      <xdr:col>0</xdr:col>
      <xdr:colOff>28575</xdr:colOff>
      <xdr:row>4</xdr:row>
      <xdr:rowOff>9525</xdr:rowOff>
    </xdr:from>
    <xdr:to>
      <xdr:col>9</xdr:col>
      <xdr:colOff>152400</xdr:colOff>
      <xdr:row>12</xdr:row>
      <xdr:rowOff>66675</xdr:rowOff>
    </xdr:to>
    <xdr:pic>
      <xdr:nvPicPr>
        <xdr:cNvPr id="6149" name="Picture 5"/>
        <xdr:cNvPicPr>
          <a:picLocks noChangeAspect="1" noChangeArrowheads="1"/>
        </xdr:cNvPicPr>
      </xdr:nvPicPr>
      <xdr:blipFill>
        <a:blip xmlns:r="http://schemas.openxmlformats.org/officeDocument/2006/relationships" r:embed="rId2" cstate="print"/>
        <a:srcRect/>
        <a:stretch>
          <a:fillRect/>
        </a:stretch>
      </xdr:blipFill>
      <xdr:spPr bwMode="auto">
        <a:xfrm>
          <a:off x="28575" y="695325"/>
          <a:ext cx="3124200" cy="1352550"/>
        </a:xfrm>
        <a:prstGeom prst="rect">
          <a:avLst/>
        </a:prstGeom>
        <a:noFill/>
        <a:ln w="9525" cmpd="sng">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676275</xdr:colOff>
      <xdr:row>3</xdr:row>
      <xdr:rowOff>123825</xdr:rowOff>
    </xdr:from>
    <xdr:to>
      <xdr:col>14</xdr:col>
      <xdr:colOff>419100</xdr:colOff>
      <xdr:row>36</xdr:row>
      <xdr:rowOff>57150</xdr:rowOff>
    </xdr:to>
    <xdr:pic>
      <xdr:nvPicPr>
        <xdr:cNvPr id="7169"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76275" y="723900"/>
          <a:ext cx="9344025" cy="6534150"/>
        </a:xfrm>
        <a:prstGeom prst="rect">
          <a:avLst/>
        </a:prstGeom>
        <a:noFill/>
        <a:ln w="9525" cmpd="sng">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gradFill rotWithShape="0">
          <a:gsLst>
            <a:gs pos="0">
              <a:srgbClr val="BBD5F0"/>
            </a:gs>
            <a:gs pos="100000">
              <a:srgbClr val="9CBEE0"/>
            </a:gs>
          </a:gsLst>
          <a:lin ang="5400000"/>
        </a:gradFill>
        <a:ln w="15875" cap="flat" cmpd="sng" algn="ctr">
          <a:solidFill>
            <a:srgbClr val="739CC3"/>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gradFill rotWithShape="0">
          <a:gsLst>
            <a:gs pos="0">
              <a:srgbClr val="BBD5F0"/>
            </a:gs>
            <a:gs pos="100000">
              <a:srgbClr val="9CBEE0"/>
            </a:gs>
          </a:gsLst>
          <a:lin ang="5400000"/>
        </a:gradFill>
        <a:ln w="15875" cap="flat" cmpd="sng" algn="ctr">
          <a:solidFill>
            <a:srgbClr val="739CC3"/>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dimension ref="A1:R38"/>
  <sheetViews>
    <sheetView zoomScaleSheetLayoutView="100" workbookViewId="0">
      <selection activeCell="L21" sqref="L21"/>
    </sheetView>
  </sheetViews>
  <sheetFormatPr defaultColWidth="4.375" defaultRowHeight="12.75"/>
  <cols>
    <col min="1" max="16384" width="4.375" style="1"/>
  </cols>
  <sheetData>
    <row r="1" spans="1:18" ht="15.75">
      <c r="A1" s="2" t="s">
        <v>0</v>
      </c>
    </row>
    <row r="2" spans="1:18">
      <c r="A2" s="1" t="s">
        <v>1</v>
      </c>
    </row>
    <row r="4" spans="1:18" ht="15.75">
      <c r="A4" s="2" t="s">
        <v>2</v>
      </c>
      <c r="G4" s="40"/>
      <c r="H4" s="40"/>
      <c r="I4" s="40"/>
      <c r="J4" s="40"/>
      <c r="K4" s="40"/>
      <c r="L4" s="40"/>
      <c r="M4" s="40"/>
      <c r="N4" s="40"/>
      <c r="O4" s="40"/>
      <c r="P4" s="40"/>
      <c r="Q4" s="40"/>
    </row>
    <row r="5" spans="1:18">
      <c r="G5" s="41"/>
      <c r="R5" s="41"/>
    </row>
    <row r="6" spans="1:18">
      <c r="F6" s="50" t="s">
        <v>3</v>
      </c>
      <c r="G6" s="56"/>
      <c r="I6" s="62" t="s">
        <v>4</v>
      </c>
      <c r="J6" s="63"/>
      <c r="K6" s="63"/>
      <c r="L6" s="64"/>
      <c r="N6" s="50" t="s">
        <v>5</v>
      </c>
      <c r="O6" s="51"/>
      <c r="Q6" s="72" t="s">
        <v>6</v>
      </c>
      <c r="R6" s="72"/>
    </row>
    <row r="7" spans="1:18">
      <c r="A7" s="42"/>
      <c r="B7" s="54" t="s">
        <v>7</v>
      </c>
      <c r="C7" s="51"/>
      <c r="D7" s="49" t="s">
        <v>8</v>
      </c>
      <c r="E7" s="49"/>
      <c r="F7" s="57"/>
      <c r="G7" s="58"/>
      <c r="H7" s="43"/>
      <c r="I7" s="65"/>
      <c r="J7" s="66"/>
      <c r="K7" s="66"/>
      <c r="L7" s="67"/>
      <c r="M7" s="40"/>
      <c r="N7" s="59"/>
      <c r="O7" s="60"/>
      <c r="P7" s="40"/>
      <c r="Q7" s="73"/>
      <c r="R7" s="73"/>
    </row>
    <row r="8" spans="1:18">
      <c r="A8" s="44"/>
      <c r="B8" s="55"/>
      <c r="C8" s="53"/>
      <c r="D8" s="49" t="s">
        <v>9</v>
      </c>
      <c r="E8" s="49"/>
      <c r="F8" s="50" t="s">
        <v>10</v>
      </c>
      <c r="G8" s="51"/>
      <c r="I8" s="65"/>
      <c r="J8" s="66"/>
      <c r="K8" s="66"/>
      <c r="L8" s="67"/>
      <c r="N8" s="59"/>
      <c r="O8" s="61"/>
      <c r="Q8" s="73"/>
      <c r="R8" s="73"/>
    </row>
    <row r="9" spans="1:18">
      <c r="F9" s="52"/>
      <c r="G9" s="53"/>
      <c r="H9" s="43"/>
      <c r="I9" s="68"/>
      <c r="J9" s="69"/>
      <c r="K9" s="70"/>
      <c r="L9" s="71"/>
      <c r="N9" s="52"/>
      <c r="O9" s="53"/>
      <c r="Q9" s="74"/>
      <c r="R9" s="74"/>
    </row>
    <row r="10" spans="1:18">
      <c r="H10" s="45"/>
      <c r="I10" s="48"/>
      <c r="K10" s="48"/>
    </row>
    <row r="11" spans="1:18">
      <c r="F11" s="79" t="s">
        <v>11</v>
      </c>
      <c r="G11" s="80"/>
      <c r="H11" s="81"/>
      <c r="I11" s="54" t="s">
        <v>12</v>
      </c>
      <c r="J11" s="54"/>
      <c r="K11" s="75" t="s">
        <v>13</v>
      </c>
      <c r="L11" s="75"/>
      <c r="M11" s="50"/>
      <c r="N11" s="50" t="s">
        <v>14</v>
      </c>
      <c r="O11" s="50"/>
      <c r="P11" s="72"/>
    </row>
    <row r="12" spans="1:18">
      <c r="F12" s="82"/>
      <c r="G12" s="83"/>
      <c r="H12" s="84"/>
      <c r="I12" s="55"/>
      <c r="J12" s="55"/>
      <c r="K12" s="76"/>
      <c r="L12" s="76"/>
      <c r="M12" s="52"/>
      <c r="N12" s="77"/>
      <c r="O12" s="77"/>
      <c r="P12" s="78"/>
    </row>
    <row r="13" spans="1:18" ht="15.75">
      <c r="A13" s="2" t="s">
        <v>15</v>
      </c>
    </row>
    <row r="14" spans="1:18">
      <c r="A14" s="8" t="s">
        <v>16</v>
      </c>
    </row>
    <row r="15" spans="1:18">
      <c r="C15" s="28">
        <v>12</v>
      </c>
      <c r="D15" s="1" t="s">
        <v>17</v>
      </c>
    </row>
    <row r="16" spans="1:18">
      <c r="A16" s="8" t="s">
        <v>18</v>
      </c>
      <c r="F16" s="8" t="s">
        <v>19</v>
      </c>
    </row>
    <row r="17" spans="1:8">
      <c r="C17" s="28">
        <v>40</v>
      </c>
      <c r="D17" s="1" t="s">
        <v>20</v>
      </c>
      <c r="H17" s="46">
        <v>1.1000000000000001</v>
      </c>
    </row>
    <row r="18" spans="1:8">
      <c r="A18" s="8" t="s">
        <v>21</v>
      </c>
    </row>
    <row r="19" spans="1:8">
      <c r="A19" s="1" t="s">
        <v>22</v>
      </c>
    </row>
    <row r="20" spans="1:8">
      <c r="A20" s="1" t="s">
        <v>23</v>
      </c>
      <c r="B20" s="1" t="s">
        <v>24</v>
      </c>
      <c r="C20" s="1" t="s">
        <v>25</v>
      </c>
    </row>
    <row r="21" spans="1:8">
      <c r="A21" s="7">
        <v>10</v>
      </c>
      <c r="B21" s="30">
        <f>C15</f>
        <v>12</v>
      </c>
      <c r="C21" s="47">
        <v>20</v>
      </c>
      <c r="D21" s="1" t="s">
        <v>17</v>
      </c>
    </row>
    <row r="22" spans="1:8">
      <c r="A22" s="8" t="s">
        <v>26</v>
      </c>
    </row>
    <row r="23" spans="1:8">
      <c r="A23" s="1" t="s">
        <v>27</v>
      </c>
    </row>
    <row r="24" spans="1:8">
      <c r="B24" s="1" t="s">
        <v>23</v>
      </c>
      <c r="C24" s="1" t="s">
        <v>25</v>
      </c>
    </row>
    <row r="25" spans="1:8">
      <c r="B25" s="28">
        <v>8</v>
      </c>
      <c r="C25" s="28">
        <v>30</v>
      </c>
      <c r="D25" s="1" t="s">
        <v>17</v>
      </c>
    </row>
    <row r="26" spans="1:8">
      <c r="A26" s="8" t="s">
        <v>28</v>
      </c>
    </row>
    <row r="27" spans="1:8">
      <c r="B27" s="1" t="s">
        <v>23</v>
      </c>
      <c r="C27" s="1" t="s">
        <v>25</v>
      </c>
    </row>
    <row r="28" spans="1:8">
      <c r="B28" s="28">
        <v>0</v>
      </c>
      <c r="C28" s="28">
        <v>-30</v>
      </c>
      <c r="D28" s="1" t="s">
        <v>17</v>
      </c>
    </row>
    <row r="29" spans="1:8">
      <c r="A29" s="8" t="s">
        <v>29</v>
      </c>
    </row>
    <row r="30" spans="1:8">
      <c r="A30" s="1" t="s">
        <v>23</v>
      </c>
      <c r="B30" s="1" t="s">
        <v>24</v>
      </c>
      <c r="C30" s="1" t="s">
        <v>25</v>
      </c>
    </row>
    <row r="31" spans="1:8">
      <c r="A31" s="28">
        <v>0</v>
      </c>
      <c r="B31" s="28">
        <v>25</v>
      </c>
      <c r="C31" s="28">
        <v>40</v>
      </c>
      <c r="D31" s="1" t="s">
        <v>30</v>
      </c>
    </row>
    <row r="32" spans="1:8">
      <c r="A32" s="8" t="s">
        <v>31</v>
      </c>
    </row>
    <row r="33" spans="1:4">
      <c r="A33" s="1" t="s">
        <v>23</v>
      </c>
      <c r="C33" s="1" t="s">
        <v>25</v>
      </c>
    </row>
    <row r="34" spans="1:4">
      <c r="A34" s="28">
        <v>0</v>
      </c>
      <c r="C34" s="28">
        <v>400</v>
      </c>
      <c r="D34" s="1" t="s">
        <v>30</v>
      </c>
    </row>
    <row r="35" spans="1:4">
      <c r="A35" s="8" t="s">
        <v>32</v>
      </c>
    </row>
    <row r="36" spans="1:4">
      <c r="A36" s="1" t="s">
        <v>33</v>
      </c>
    </row>
    <row r="37" spans="1:4">
      <c r="A37" s="1" t="s">
        <v>34</v>
      </c>
    </row>
    <row r="38" spans="1:4">
      <c r="A38" s="1" t="s">
        <v>35</v>
      </c>
    </row>
  </sheetData>
  <mergeCells count="12">
    <mergeCell ref="Q6:R9"/>
    <mergeCell ref="I11:J12"/>
    <mergeCell ref="K11:M12"/>
    <mergeCell ref="N11:P12"/>
    <mergeCell ref="F11:H12"/>
    <mergeCell ref="D7:E7"/>
    <mergeCell ref="D8:E8"/>
    <mergeCell ref="F8:G9"/>
    <mergeCell ref="B7:C8"/>
    <mergeCell ref="F6:G7"/>
    <mergeCell ref="N6:O9"/>
    <mergeCell ref="I6:L9"/>
  </mergeCells>
  <pageMargins left="0.75" right="0.75" top="1" bottom="1" header="0.51111111111111107" footer="0.51111111111111107"/>
  <pageSetup paperSize="9" orientation="portrait" horizontalDpi="0" verticalDpi="0"/>
  <headerFooter alignWithMargins="0"/>
</worksheet>
</file>

<file path=xl/worksheets/sheet2.xml><?xml version="1.0" encoding="utf-8"?>
<worksheet xmlns="http://schemas.openxmlformats.org/spreadsheetml/2006/main" xmlns:r="http://schemas.openxmlformats.org/officeDocument/2006/relationships">
  <dimension ref="A1:R23"/>
  <sheetViews>
    <sheetView zoomScaleSheetLayoutView="100" workbookViewId="0">
      <selection activeCell="F28" sqref="F28"/>
    </sheetView>
  </sheetViews>
  <sheetFormatPr defaultColWidth="4.375" defaultRowHeight="12.75"/>
  <cols>
    <col min="1" max="16384" width="4.375" style="1"/>
  </cols>
  <sheetData>
    <row r="1" spans="1:18" ht="15.75">
      <c r="A1" s="2" t="s">
        <v>36</v>
      </c>
    </row>
    <row r="2" spans="1:18">
      <c r="A2" s="1" t="s">
        <v>37</v>
      </c>
    </row>
    <row r="3" spans="1:18">
      <c r="A3" s="1" t="s">
        <v>38</v>
      </c>
      <c r="F3" s="1" t="s">
        <v>39</v>
      </c>
    </row>
    <row r="4" spans="1:18">
      <c r="B4" s="1" t="s">
        <v>23</v>
      </c>
      <c r="C4" s="1" t="s">
        <v>25</v>
      </c>
      <c r="F4" s="1" t="s">
        <v>23</v>
      </c>
      <c r="G4" s="1" t="s">
        <v>25</v>
      </c>
    </row>
    <row r="5" spans="1:18">
      <c r="B5" s="30">
        <f ca="1">Summary!A21</f>
        <v>10</v>
      </c>
      <c r="C5" s="30">
        <f ca="1">Summary!C21</f>
        <v>20</v>
      </c>
      <c r="D5" s="1" t="s">
        <v>17</v>
      </c>
      <c r="F5" s="30">
        <f ca="1">Summary!B25</f>
        <v>8</v>
      </c>
      <c r="G5" s="30">
        <f ca="1">Summary!C25</f>
        <v>30</v>
      </c>
      <c r="H5" s="1" t="s">
        <v>17</v>
      </c>
    </row>
    <row r="6" spans="1:18">
      <c r="A6" s="8" t="s">
        <v>28</v>
      </c>
    </row>
    <row r="7" spans="1:18">
      <c r="B7" s="1" t="s">
        <v>23</v>
      </c>
      <c r="C7" s="1" t="s">
        <v>25</v>
      </c>
    </row>
    <row r="8" spans="1:18">
      <c r="B8" s="30">
        <f ca="1">Summary!B28</f>
        <v>0</v>
      </c>
      <c r="C8" s="30">
        <f ca="1">Summary!C28</f>
        <v>-30</v>
      </c>
      <c r="D8" s="1" t="s">
        <v>17</v>
      </c>
    </row>
    <row r="10" spans="1:18">
      <c r="A10" s="86" t="s">
        <v>40</v>
      </c>
      <c r="B10" s="86"/>
      <c r="C10" s="86"/>
      <c r="D10" s="86"/>
      <c r="E10" s="86"/>
      <c r="F10" s="86"/>
      <c r="G10" s="86"/>
      <c r="H10" s="86"/>
      <c r="I10" s="86"/>
      <c r="J10" s="86"/>
      <c r="K10" s="86"/>
      <c r="L10" s="86"/>
      <c r="M10" s="86"/>
      <c r="N10" s="86"/>
      <c r="O10" s="86"/>
      <c r="P10" s="86"/>
      <c r="Q10" s="86"/>
      <c r="R10" s="86"/>
    </row>
    <row r="11" spans="1:18">
      <c r="A11" s="86"/>
      <c r="B11" s="86"/>
      <c r="C11" s="86"/>
      <c r="D11" s="86"/>
      <c r="E11" s="86"/>
      <c r="F11" s="86"/>
      <c r="G11" s="86"/>
      <c r="H11" s="86"/>
      <c r="I11" s="86"/>
      <c r="J11" s="86"/>
      <c r="K11" s="86"/>
      <c r="L11" s="86"/>
      <c r="M11" s="86"/>
      <c r="N11" s="86"/>
      <c r="O11" s="86"/>
      <c r="P11" s="86"/>
      <c r="Q11" s="86"/>
      <c r="R11" s="86"/>
    </row>
    <row r="12" spans="1:18">
      <c r="A12" s="1" t="s">
        <v>41</v>
      </c>
    </row>
    <row r="13" spans="1:18">
      <c r="C13" s="34">
        <f ca="1">Summary!C17/Summary!C15</f>
        <v>3.3333333333333335</v>
      </c>
      <c r="D13" s="1" t="s">
        <v>42</v>
      </c>
    </row>
    <row r="14" spans="1:18">
      <c r="A14" s="1" t="s">
        <v>43</v>
      </c>
    </row>
    <row r="15" spans="1:18">
      <c r="C15" s="37">
        <f ca="1">Summary!H17</f>
        <v>1.1000000000000001</v>
      </c>
    </row>
    <row r="16" spans="1:18">
      <c r="A16" s="1" t="s">
        <v>44</v>
      </c>
    </row>
    <row r="17" spans="1:4">
      <c r="C17" s="30">
        <f ca="1">C5/C13*C15</f>
        <v>6.6000000000000005</v>
      </c>
      <c r="D17" s="1" t="s">
        <v>45</v>
      </c>
    </row>
    <row r="19" spans="1:4">
      <c r="A19" s="1" t="s">
        <v>46</v>
      </c>
    </row>
    <row r="20" spans="1:4">
      <c r="A20" s="1" t="s">
        <v>47</v>
      </c>
    </row>
    <row r="21" spans="1:4">
      <c r="A21" s="85" t="s">
        <v>48</v>
      </c>
      <c r="B21" s="85"/>
      <c r="C21" s="85"/>
    </row>
    <row r="22" spans="1:4">
      <c r="A22" s="1" t="s">
        <v>49</v>
      </c>
    </row>
    <row r="23" spans="1:4">
      <c r="C23" s="28">
        <v>12.6</v>
      </c>
      <c r="D23" s="1" t="s">
        <v>50</v>
      </c>
    </row>
  </sheetData>
  <mergeCells count="2">
    <mergeCell ref="A21:C21"/>
    <mergeCell ref="A10:R11"/>
  </mergeCells>
  <pageMargins left="0.75" right="0.75" top="1" bottom="1" header="0.51111111111111107" footer="0.51111111111111107"/>
  <pageSetup paperSize="9" orientation="portrait" horizontalDpi="0" verticalDpi="0"/>
  <headerFooter alignWithMargins="0"/>
</worksheet>
</file>

<file path=xl/worksheets/sheet3.xml><?xml version="1.0" encoding="utf-8"?>
<worksheet xmlns="http://schemas.openxmlformats.org/spreadsheetml/2006/main" xmlns:r="http://schemas.openxmlformats.org/officeDocument/2006/relationships">
  <dimension ref="A1:D30"/>
  <sheetViews>
    <sheetView zoomScaleSheetLayoutView="100" workbookViewId="0">
      <selection activeCell="C10" sqref="C10"/>
    </sheetView>
  </sheetViews>
  <sheetFormatPr defaultColWidth="4.375" defaultRowHeight="12.75"/>
  <cols>
    <col min="1" max="16384" width="4.375" style="1"/>
  </cols>
  <sheetData>
    <row r="1" spans="1:4" ht="15.75">
      <c r="A1" s="2" t="s">
        <v>51</v>
      </c>
    </row>
    <row r="2" spans="1:4">
      <c r="A2" s="1" t="s">
        <v>52</v>
      </c>
    </row>
    <row r="3" spans="1:4">
      <c r="A3" s="1" t="s">
        <v>23</v>
      </c>
      <c r="B3" s="1" t="s">
        <v>24</v>
      </c>
      <c r="C3" s="1" t="s">
        <v>25</v>
      </c>
    </row>
    <row r="4" spans="1:4">
      <c r="A4" s="30">
        <f ca="1">Summary!A21</f>
        <v>10</v>
      </c>
      <c r="B4" s="30">
        <f ca="1">Summary!B21</f>
        <v>12</v>
      </c>
      <c r="C4" s="30">
        <f ca="1">Summary!C21</f>
        <v>20</v>
      </c>
      <c r="D4" s="1" t="s">
        <v>17</v>
      </c>
    </row>
    <row r="5" spans="1:4">
      <c r="A5" s="1" t="s">
        <v>41</v>
      </c>
    </row>
    <row r="6" spans="1:4">
      <c r="C6" s="34">
        <f ca="1">'Power supply'!$C$13</f>
        <v>3.3333333333333335</v>
      </c>
      <c r="D6" s="1" t="s">
        <v>42</v>
      </c>
    </row>
    <row r="7" spans="1:4">
      <c r="A7" s="1" t="s">
        <v>43</v>
      </c>
    </row>
    <row r="8" spans="1:4">
      <c r="C8" s="37">
        <f ca="1">Summary!$H$17</f>
        <v>1.1000000000000001</v>
      </c>
    </row>
    <row r="9" spans="1:4">
      <c r="A9" s="1" t="s">
        <v>53</v>
      </c>
    </row>
    <row r="10" spans="1:4">
      <c r="C10" s="34">
        <f ca="1">B4/C6*C8</f>
        <v>3.96</v>
      </c>
      <c r="D10" s="1" t="s">
        <v>45</v>
      </c>
    </row>
    <row r="11" spans="1:4">
      <c r="A11" s="1" t="s">
        <v>54</v>
      </c>
    </row>
    <row r="12" spans="1:4">
      <c r="C12" s="34">
        <f ca="1">C10*C4/B4</f>
        <v>6.6000000000000005</v>
      </c>
      <c r="D12" s="1" t="s">
        <v>45</v>
      </c>
    </row>
    <row r="13" spans="1:4">
      <c r="A13" s="1" t="s">
        <v>55</v>
      </c>
    </row>
    <row r="14" spans="1:4">
      <c r="C14" s="37">
        <f ca="1">POWER(B4/C4,2)</f>
        <v>0.36</v>
      </c>
    </row>
    <row r="15" spans="1:4">
      <c r="A15" s="1" t="s">
        <v>56</v>
      </c>
    </row>
    <row r="16" spans="1:4">
      <c r="A16" s="85" t="s">
        <v>57</v>
      </c>
      <c r="B16" s="85"/>
      <c r="C16" s="85"/>
    </row>
    <row r="17" spans="1:4">
      <c r="A17" s="1" t="s">
        <v>58</v>
      </c>
    </row>
    <row r="18" spans="1:4">
      <c r="B18" s="1" t="s">
        <v>24</v>
      </c>
      <c r="C18" s="1" t="s">
        <v>25</v>
      </c>
    </row>
    <row r="19" spans="1:4">
      <c r="B19" s="28">
        <v>12</v>
      </c>
      <c r="C19" s="28">
        <v>24</v>
      </c>
      <c r="D19" s="1" t="s">
        <v>50</v>
      </c>
    </row>
    <row r="20" spans="1:4">
      <c r="A20" s="1" t="s">
        <v>59</v>
      </c>
    </row>
    <row r="21" spans="1:4">
      <c r="B21" s="1" t="s">
        <v>24</v>
      </c>
      <c r="C21" s="1" t="s">
        <v>25</v>
      </c>
    </row>
    <row r="22" spans="1:4">
      <c r="B22" s="38">
        <f ca="1">C10*C10*B19/1000</f>
        <v>0.18817919999999999</v>
      </c>
      <c r="C22" s="38">
        <f ca="1">C10*C10*C19/1000</f>
        <v>0.37635839999999998</v>
      </c>
      <c r="D22" s="1" t="s">
        <v>20</v>
      </c>
    </row>
    <row r="23" spans="1:4">
      <c r="A23" s="1" t="s">
        <v>60</v>
      </c>
    </row>
    <row r="24" spans="1:4">
      <c r="C24" s="28">
        <v>80</v>
      </c>
      <c r="D24" s="1" t="s">
        <v>61</v>
      </c>
    </row>
    <row r="25" spans="1:4">
      <c r="A25" s="1" t="s">
        <v>62</v>
      </c>
    </row>
    <row r="26" spans="1:4">
      <c r="B26" s="1" t="s">
        <v>24</v>
      </c>
      <c r="C26" s="1" t="s">
        <v>25</v>
      </c>
    </row>
    <row r="27" spans="1:4">
      <c r="B27" s="39">
        <f ca="1">$C$24*B22</f>
        <v>15.054335999999999</v>
      </c>
      <c r="C27" s="39">
        <f ca="1">$C$24*C22</f>
        <v>30.108671999999999</v>
      </c>
      <c r="D27" s="1" t="s">
        <v>30</v>
      </c>
    </row>
    <row r="28" spans="1:4">
      <c r="A28" s="1" t="s">
        <v>63</v>
      </c>
    </row>
    <row r="29" spans="1:4">
      <c r="C29" s="39">
        <f ca="1">C27+Summary!C31</f>
        <v>70.108671999999999</v>
      </c>
      <c r="D29" s="1" t="s">
        <v>30</v>
      </c>
    </row>
    <row r="30" spans="1:4">
      <c r="A30" s="1" t="s">
        <v>64</v>
      </c>
    </row>
  </sheetData>
  <mergeCells count="1">
    <mergeCell ref="A16:C16"/>
  </mergeCells>
  <pageMargins left="0.75" right="0.75" top="1" bottom="1" header="0.51111111111111107" footer="0.51111111111111107"/>
  <pageSetup paperSize="9" orientation="portrait" horizontalDpi="0" verticalDpi="0"/>
  <headerFooter alignWithMargins="0"/>
</worksheet>
</file>

<file path=xl/worksheets/sheet4.xml><?xml version="1.0" encoding="utf-8"?>
<worksheet xmlns="http://schemas.openxmlformats.org/spreadsheetml/2006/main" xmlns:r="http://schemas.openxmlformats.org/officeDocument/2006/relationships">
  <dimension ref="A1:Q28"/>
  <sheetViews>
    <sheetView zoomScaleSheetLayoutView="100" workbookViewId="0">
      <selection activeCell="C17" sqref="C17"/>
    </sheetView>
  </sheetViews>
  <sheetFormatPr defaultColWidth="4.375" defaultRowHeight="12.75"/>
  <cols>
    <col min="1" max="16384" width="4.375" style="1"/>
  </cols>
  <sheetData>
    <row r="1" spans="1:17" ht="15.75">
      <c r="A1" s="2" t="s">
        <v>65</v>
      </c>
    </row>
    <row r="2" spans="1:17">
      <c r="A2" s="8" t="s">
        <v>66</v>
      </c>
    </row>
    <row r="3" spans="1:17">
      <c r="C3" s="28">
        <v>41</v>
      </c>
      <c r="D3" s="1" t="s">
        <v>67</v>
      </c>
    </row>
    <row r="5" spans="1:17">
      <c r="A5" s="8" t="s">
        <v>68</v>
      </c>
    </row>
    <row r="6" spans="1:17">
      <c r="A6" s="1" t="s">
        <v>69</v>
      </c>
    </row>
    <row r="7" spans="1:17">
      <c r="A7" s="85" t="s">
        <v>70</v>
      </c>
      <c r="B7" s="85"/>
      <c r="C7" s="85"/>
    </row>
    <row r="8" spans="1:17">
      <c r="A8" s="1" t="s">
        <v>71</v>
      </c>
      <c r="F8" s="1" t="s">
        <v>72</v>
      </c>
    </row>
    <row r="9" spans="1:17">
      <c r="C9" s="28">
        <v>150</v>
      </c>
      <c r="D9" s="1" t="s">
        <v>73</v>
      </c>
      <c r="H9" s="28">
        <v>5</v>
      </c>
      <c r="I9" s="1" t="s">
        <v>74</v>
      </c>
      <c r="J9" s="1" t="s">
        <v>75</v>
      </c>
    </row>
    <row r="10" spans="1:17">
      <c r="A10" s="86" t="s">
        <v>76</v>
      </c>
      <c r="B10" s="86"/>
      <c r="C10" s="86"/>
      <c r="F10" s="1" t="s">
        <v>77</v>
      </c>
      <c r="K10" s="86" t="s">
        <v>78</v>
      </c>
      <c r="L10" s="86"/>
      <c r="M10" s="86"/>
      <c r="N10" s="86"/>
    </row>
    <row r="11" spans="1:17">
      <c r="A11" s="86"/>
      <c r="B11" s="86"/>
      <c r="C11" s="86"/>
      <c r="F11" s="1" t="s">
        <v>79</v>
      </c>
      <c r="H11" s="1" t="s">
        <v>80</v>
      </c>
      <c r="K11" s="86"/>
      <c r="L11" s="86"/>
      <c r="M11" s="86"/>
      <c r="N11" s="86"/>
    </row>
    <row r="12" spans="1:17">
      <c r="C12" s="28">
        <v>1.5</v>
      </c>
      <c r="D12" s="1" t="s">
        <v>67</v>
      </c>
      <c r="F12" s="29">
        <f ca="1">-C12*(Summary!A31-25)</f>
        <v>37.5</v>
      </c>
      <c r="H12" s="29">
        <f ca="1">C12*(Summary!C31-25)</f>
        <v>22.5</v>
      </c>
      <c r="I12" s="1" t="s">
        <v>73</v>
      </c>
      <c r="K12" s="29">
        <f ca="1">C9+MAX(H12,F12)</f>
        <v>187.5</v>
      </c>
      <c r="L12" s="1" t="s">
        <v>73</v>
      </c>
    </row>
    <row r="14" spans="1:17">
      <c r="A14" s="8" t="s">
        <v>81</v>
      </c>
      <c r="J14" s="86" t="s">
        <v>82</v>
      </c>
      <c r="K14" s="86"/>
      <c r="M14" s="86" t="s">
        <v>83</v>
      </c>
      <c r="N14" s="86"/>
      <c r="O14" s="86"/>
      <c r="P14" s="86"/>
      <c r="Q14" s="86"/>
    </row>
    <row r="15" spans="1:17">
      <c r="C15" s="1" t="s">
        <v>24</v>
      </c>
      <c r="E15" s="1" t="s">
        <v>84</v>
      </c>
      <c r="G15" s="1" t="s">
        <v>85</v>
      </c>
      <c r="J15" s="86"/>
      <c r="K15" s="86"/>
      <c r="M15" s="86"/>
      <c r="N15" s="86"/>
      <c r="O15" s="86"/>
      <c r="P15" s="86"/>
      <c r="Q15" s="86"/>
    </row>
    <row r="16" spans="1:17">
      <c r="A16" s="1" t="s">
        <v>86</v>
      </c>
      <c r="C16" s="30">
        <v>18</v>
      </c>
      <c r="D16" s="1" t="s">
        <v>87</v>
      </c>
      <c r="E16" s="31">
        <v>0.01</v>
      </c>
      <c r="G16" s="32">
        <v>100</v>
      </c>
      <c r="H16" s="1" t="s">
        <v>88</v>
      </c>
      <c r="J16" s="31">
        <v>2.5000000000000001E-3</v>
      </c>
      <c r="M16" s="33">
        <f ca="1">MAX(Summary!$C$31-Summary!$B$31,Summary!$B$31-Summary!$A$31)*G16/1000000+J16</f>
        <v>5.0000000000000001E-3</v>
      </c>
    </row>
    <row r="17" spans="1:13">
      <c r="A17" s="1" t="s">
        <v>89</v>
      </c>
      <c r="C17" s="30">
        <v>0.1</v>
      </c>
      <c r="D17" s="1" t="s">
        <v>87</v>
      </c>
      <c r="E17" s="31">
        <v>0.01</v>
      </c>
      <c r="G17" s="32">
        <v>100</v>
      </c>
      <c r="H17" s="1" t="s">
        <v>88</v>
      </c>
      <c r="J17" s="31">
        <v>2.5000000000000001E-3</v>
      </c>
      <c r="M17" s="33">
        <f ca="1">MAX(Summary!$C$31-Summary!$B$31,Summary!$B$31-Summary!$A$31)*G17/1000000+J17</f>
        <v>5.0000000000000001E-3</v>
      </c>
    </row>
    <row r="19" spans="1:13">
      <c r="A19" s="1" t="s">
        <v>90</v>
      </c>
      <c r="C19" s="1" t="s">
        <v>24</v>
      </c>
      <c r="E19" s="1" t="s">
        <v>91</v>
      </c>
      <c r="J19" s="1" t="s">
        <v>92</v>
      </c>
    </row>
    <row r="20" spans="1:13">
      <c r="C20" s="30">
        <f>C16/C17+1</f>
        <v>181</v>
      </c>
      <c r="E20" s="33">
        <f>E17+E16</f>
        <v>0.02</v>
      </c>
      <c r="J20" s="33">
        <f ca="1">M17+M16</f>
        <v>0.01</v>
      </c>
    </row>
    <row r="21" spans="1:13">
      <c r="A21" s="1" t="s">
        <v>93</v>
      </c>
      <c r="C21" s="1" t="s">
        <v>25</v>
      </c>
    </row>
    <row r="22" spans="1:13">
      <c r="C22" s="30">
        <f ca="1">Summary!C34</f>
        <v>400</v>
      </c>
      <c r="D22" s="1" t="s">
        <v>30</v>
      </c>
    </row>
    <row r="23" spans="1:13">
      <c r="A23" s="1" t="s">
        <v>94</v>
      </c>
      <c r="C23" s="1" t="s">
        <v>95</v>
      </c>
    </row>
    <row r="24" spans="1:13">
      <c r="C24" s="30">
        <f ca="1">Summary!A31</f>
        <v>0</v>
      </c>
      <c r="D24" s="1" t="s">
        <v>30</v>
      </c>
    </row>
    <row r="25" spans="1:13">
      <c r="A25" s="1" t="s">
        <v>96</v>
      </c>
      <c r="H25" s="86" t="s">
        <v>97</v>
      </c>
      <c r="I25" s="86"/>
      <c r="J25" s="86"/>
    </row>
    <row r="26" spans="1:13">
      <c r="C26" s="1" t="s">
        <v>24</v>
      </c>
      <c r="E26" s="1" t="s">
        <v>98</v>
      </c>
      <c r="H26" s="86"/>
      <c r="I26" s="86"/>
      <c r="J26" s="86"/>
      <c r="L26" s="1" t="s">
        <v>99</v>
      </c>
    </row>
    <row r="27" spans="1:13">
      <c r="C27" s="34">
        <f ca="1">(C22-C24)*C3/1000000*C20</f>
        <v>2.9684000000000004</v>
      </c>
      <c r="D27" s="1" t="s">
        <v>17</v>
      </c>
      <c r="E27" s="35">
        <f ca="1">C27*E20</f>
        <v>5.9368000000000011E-2</v>
      </c>
      <c r="F27" s="1" t="s">
        <v>17</v>
      </c>
      <c r="H27" s="35">
        <f ca="1">C27*J20+K12/1000000*C20</f>
        <v>6.3621500000000011E-2</v>
      </c>
      <c r="I27" s="1" t="s">
        <v>17</v>
      </c>
      <c r="L27" s="35">
        <f ca="1">C27+E27+H27</f>
        <v>3.0913895000000005</v>
      </c>
      <c r="M27" s="1" t="s">
        <v>17</v>
      </c>
    </row>
    <row r="28" spans="1:13">
      <c r="E28" s="36">
        <f ca="1">E27/$C$20/$C$3*1000000</f>
        <v>8.0000000000000018</v>
      </c>
      <c r="F28" s="1" t="s">
        <v>30</v>
      </c>
      <c r="H28" s="36">
        <f ca="1">H27/$C$20/$C$3*1000000</f>
        <v>8.573170731707318</v>
      </c>
      <c r="I28" s="1" t="s">
        <v>30</v>
      </c>
    </row>
  </sheetData>
  <mergeCells count="6">
    <mergeCell ref="A7:C7"/>
    <mergeCell ref="A10:C11"/>
    <mergeCell ref="K10:N11"/>
    <mergeCell ref="J14:K15"/>
    <mergeCell ref="M14:Q15"/>
    <mergeCell ref="H25:J26"/>
  </mergeCells>
  <pageMargins left="0.75" right="0.75" top="1" bottom="1" header="0.51111111111111107" footer="0.51111111111111107"/>
  <pageSetup paperSize="9" orientation="portrait" horizontalDpi="0" verticalDpi="0"/>
  <headerFooter alignWithMargins="0"/>
</worksheet>
</file>

<file path=xl/worksheets/sheet5.xml><?xml version="1.0" encoding="utf-8"?>
<worksheet xmlns="http://schemas.openxmlformats.org/spreadsheetml/2006/main" xmlns:r="http://schemas.openxmlformats.org/officeDocument/2006/relationships">
  <dimension ref="A1:IT38"/>
  <sheetViews>
    <sheetView tabSelected="1" topLeftCell="A9" zoomScaleSheetLayoutView="100" workbookViewId="0">
      <selection activeCell="G25" sqref="G25"/>
    </sheetView>
  </sheetViews>
  <sheetFormatPr defaultColWidth="9" defaultRowHeight="15.75"/>
  <cols>
    <col min="1" max="1" width="3.75" style="1" customWidth="1"/>
    <col min="2" max="2" width="12.625" style="1" customWidth="1"/>
    <col min="3" max="3" width="8" style="1" customWidth="1"/>
    <col min="4" max="4" width="9.625" style="1" customWidth="1"/>
    <col min="5" max="5" width="10.375" style="1" customWidth="1"/>
    <col min="6" max="6" width="8.5" style="1" customWidth="1"/>
    <col min="7" max="7" width="12.375" style="1" customWidth="1"/>
    <col min="8" max="8" width="35.375" style="1" customWidth="1"/>
    <col min="9" max="9" width="4.375" style="1" customWidth="1"/>
    <col min="10" max="10" width="11.875" style="1" customWidth="1"/>
    <col min="11" max="254" width="4.375" style="1" customWidth="1"/>
    <col min="255" max="255" width="4.375" bestFit="1" customWidth="1"/>
  </cols>
  <sheetData>
    <row r="1" spans="1:7">
      <c r="A1" s="2" t="s">
        <v>4</v>
      </c>
    </row>
    <row r="2" spans="1:7">
      <c r="A2" s="87" t="s">
        <v>100</v>
      </c>
      <c r="B2" s="87"/>
      <c r="F2" s="1" t="s">
        <v>101</v>
      </c>
      <c r="G2" s="3" t="s">
        <v>102</v>
      </c>
    </row>
    <row r="3" spans="1:7">
      <c r="A3" s="1">
        <v>2</v>
      </c>
      <c r="B3" s="87" t="s">
        <v>103</v>
      </c>
      <c r="C3" s="87"/>
      <c r="D3" s="87"/>
      <c r="F3" s="1" t="s">
        <v>104</v>
      </c>
      <c r="G3" s="3" t="s">
        <v>105</v>
      </c>
    </row>
    <row r="4" spans="1:7">
      <c r="A4" s="1">
        <v>2</v>
      </c>
      <c r="B4" s="87" t="s">
        <v>9</v>
      </c>
      <c r="C4" s="87"/>
      <c r="D4" s="87"/>
      <c r="F4" s="1" t="s">
        <v>106</v>
      </c>
      <c r="G4" s="1">
        <v>5</v>
      </c>
    </row>
    <row r="5" spans="1:7">
      <c r="A5" s="1">
        <v>3</v>
      </c>
      <c r="B5" s="87" t="s">
        <v>107</v>
      </c>
      <c r="C5" s="87"/>
      <c r="D5" s="87"/>
      <c r="F5" s="1" t="s">
        <v>108</v>
      </c>
      <c r="G5" s="1">
        <v>1</v>
      </c>
    </row>
    <row r="6" spans="1:7">
      <c r="A6" s="1">
        <v>1</v>
      </c>
      <c r="B6" s="87" t="s">
        <v>109</v>
      </c>
      <c r="C6" s="87"/>
      <c r="D6" s="87"/>
      <c r="F6" s="1" t="s">
        <v>110</v>
      </c>
      <c r="G6" s="1">
        <v>2</v>
      </c>
    </row>
    <row r="7" spans="1:7">
      <c r="A7" s="1">
        <v>1</v>
      </c>
      <c r="B7" s="87" t="s">
        <v>111</v>
      </c>
      <c r="C7" s="87"/>
      <c r="D7" s="87"/>
      <c r="F7" s="1" t="s">
        <v>112</v>
      </c>
      <c r="G7" s="1">
        <v>9</v>
      </c>
    </row>
    <row r="8" spans="1:7">
      <c r="A8" s="1">
        <v>1</v>
      </c>
      <c r="B8" s="87" t="s">
        <v>11</v>
      </c>
      <c r="C8" s="87"/>
      <c r="D8" s="87"/>
      <c r="F8" s="1" t="s">
        <v>113</v>
      </c>
      <c r="G8" s="1">
        <v>15</v>
      </c>
    </row>
    <row r="9" spans="1:7">
      <c r="A9" s="1">
        <v>1</v>
      </c>
      <c r="B9" s="87" t="s">
        <v>14</v>
      </c>
      <c r="C9" s="87"/>
      <c r="D9" s="87"/>
    </row>
    <row r="10" spans="1:7">
      <c r="A10" s="4"/>
      <c r="B10" s="4"/>
    </row>
    <row r="11" spans="1:7">
      <c r="A11" s="5">
        <f>SUM(A3:A10)</f>
        <v>11</v>
      </c>
      <c r="B11" s="6" t="s">
        <v>114</v>
      </c>
    </row>
    <row r="13" spans="1:7">
      <c r="A13" s="87" t="s">
        <v>115</v>
      </c>
      <c r="B13" s="87"/>
      <c r="C13" s="87"/>
    </row>
    <row r="14" spans="1:7">
      <c r="A14" s="88" t="s">
        <v>116</v>
      </c>
      <c r="B14" s="88"/>
      <c r="C14" s="88"/>
    </row>
    <row r="15" spans="1:7">
      <c r="A15" s="87" t="s">
        <v>117</v>
      </c>
      <c r="B15" s="87"/>
      <c r="C15" s="87"/>
    </row>
    <row r="17" spans="1:8">
      <c r="A17" s="89" t="s">
        <v>118</v>
      </c>
      <c r="B17" s="89"/>
      <c r="C17" s="89"/>
      <c r="D17" s="89"/>
      <c r="E17" s="89"/>
      <c r="F17" s="89"/>
      <c r="G17" s="89"/>
    </row>
    <row r="18" spans="1:8">
      <c r="A18" s="9" t="s">
        <v>119</v>
      </c>
      <c r="B18" s="9" t="s">
        <v>120</v>
      </c>
      <c r="C18" s="9" t="s">
        <v>121</v>
      </c>
      <c r="D18" s="9" t="s">
        <v>122</v>
      </c>
      <c r="E18" s="9" t="s">
        <v>123</v>
      </c>
      <c r="F18" s="9" t="s">
        <v>108</v>
      </c>
      <c r="G18" s="9" t="s">
        <v>124</v>
      </c>
      <c r="H18" s="10" t="s">
        <v>125</v>
      </c>
    </row>
    <row r="19" spans="1:8">
      <c r="A19" s="11">
        <v>1</v>
      </c>
      <c r="B19" s="12" t="s">
        <v>126</v>
      </c>
      <c r="C19" s="11"/>
      <c r="D19" s="11"/>
      <c r="E19" s="11"/>
      <c r="F19" s="11"/>
      <c r="G19" s="11"/>
      <c r="H19" s="13" t="s">
        <v>127</v>
      </c>
    </row>
    <row r="20" spans="1:8">
      <c r="A20" s="14">
        <v>2</v>
      </c>
      <c r="B20" s="14" t="s">
        <v>128</v>
      </c>
      <c r="C20" s="14"/>
      <c r="D20" s="14"/>
      <c r="E20" s="14"/>
      <c r="F20" s="14" t="s">
        <v>129</v>
      </c>
      <c r="G20" s="14" t="s">
        <v>130</v>
      </c>
      <c r="H20" s="15" t="s">
        <v>131</v>
      </c>
    </row>
    <row r="21" spans="1:8">
      <c r="A21" s="16">
        <v>3</v>
      </c>
      <c r="B21" s="16" t="s">
        <v>132</v>
      </c>
      <c r="C21" s="16"/>
      <c r="D21" s="16"/>
      <c r="E21" s="16"/>
      <c r="F21" s="16" t="s">
        <v>133</v>
      </c>
      <c r="G21" s="16" t="s">
        <v>134</v>
      </c>
      <c r="H21" s="15" t="s">
        <v>131</v>
      </c>
    </row>
    <row r="22" spans="1:8">
      <c r="A22" s="17">
        <v>4</v>
      </c>
      <c r="B22" s="18" t="s">
        <v>135</v>
      </c>
      <c r="C22" s="17"/>
      <c r="D22" s="17"/>
      <c r="E22" s="17"/>
      <c r="F22" s="17"/>
      <c r="G22" s="17"/>
      <c r="H22" s="19" t="s">
        <v>136</v>
      </c>
    </row>
    <row r="23" spans="1:8">
      <c r="A23" s="20">
        <v>5</v>
      </c>
      <c r="B23" s="18" t="s">
        <v>137</v>
      </c>
      <c r="C23" s="20"/>
      <c r="D23" s="20"/>
      <c r="E23" s="20"/>
      <c r="F23" s="20"/>
      <c r="G23" s="20"/>
      <c r="H23" s="21" t="s">
        <v>137</v>
      </c>
    </row>
    <row r="24" spans="1:8">
      <c r="A24" s="14">
        <v>6</v>
      </c>
      <c r="B24" s="14" t="s">
        <v>138</v>
      </c>
      <c r="C24" s="22" t="s">
        <v>139</v>
      </c>
      <c r="D24" s="14"/>
      <c r="E24" s="14"/>
      <c r="F24" s="14"/>
      <c r="G24" s="14"/>
      <c r="H24" s="23" t="s">
        <v>140</v>
      </c>
    </row>
    <row r="25" spans="1:8">
      <c r="A25" s="16">
        <v>7</v>
      </c>
      <c r="B25" s="16" t="s">
        <v>141</v>
      </c>
      <c r="C25" s="22" t="s">
        <v>142</v>
      </c>
      <c r="D25" s="16"/>
      <c r="E25" s="16"/>
      <c r="F25" s="16"/>
      <c r="G25" s="16"/>
      <c r="H25" s="24" t="s">
        <v>143</v>
      </c>
    </row>
    <row r="26" spans="1:8">
      <c r="A26" s="14">
        <v>8</v>
      </c>
      <c r="B26" s="14" t="s">
        <v>144</v>
      </c>
      <c r="C26" s="25" t="s">
        <v>145</v>
      </c>
      <c r="D26" s="14"/>
      <c r="E26" s="25" t="s">
        <v>146</v>
      </c>
      <c r="F26" s="14"/>
      <c r="G26" s="14"/>
      <c r="H26" s="14" t="s">
        <v>147</v>
      </c>
    </row>
    <row r="27" spans="1:8">
      <c r="A27" s="16">
        <v>9</v>
      </c>
      <c r="B27" s="16" t="s">
        <v>148</v>
      </c>
      <c r="C27" s="22" t="s">
        <v>149</v>
      </c>
      <c r="D27" s="16"/>
      <c r="E27" s="16" t="s">
        <v>150</v>
      </c>
      <c r="F27" s="16"/>
      <c r="G27" s="16"/>
      <c r="H27" s="16" t="s">
        <v>151</v>
      </c>
    </row>
    <row r="28" spans="1:8">
      <c r="A28" s="14">
        <v>10</v>
      </c>
      <c r="B28" s="14" t="s">
        <v>152</v>
      </c>
      <c r="C28" s="14" t="s">
        <v>153</v>
      </c>
      <c r="D28" s="22" t="s">
        <v>154</v>
      </c>
      <c r="E28" s="14"/>
      <c r="F28" s="14"/>
      <c r="G28" s="14"/>
      <c r="H28" s="23" t="s">
        <v>155</v>
      </c>
    </row>
    <row r="29" spans="1:8">
      <c r="A29" s="16">
        <v>11</v>
      </c>
      <c r="B29" s="16" t="s">
        <v>156</v>
      </c>
      <c r="C29" s="22" t="s">
        <v>157</v>
      </c>
      <c r="D29" s="16"/>
      <c r="E29" s="16"/>
      <c r="F29" s="16"/>
      <c r="G29" s="16"/>
      <c r="H29" s="24" t="s">
        <v>158</v>
      </c>
    </row>
    <row r="30" spans="1:8" ht="25.5">
      <c r="A30" s="14">
        <v>12</v>
      </c>
      <c r="B30" s="14" t="s">
        <v>159</v>
      </c>
      <c r="C30" s="14" t="s">
        <v>160</v>
      </c>
      <c r="D30" s="26" t="s">
        <v>161</v>
      </c>
      <c r="E30" s="14"/>
      <c r="F30" s="14"/>
      <c r="G30" s="14"/>
      <c r="H30" s="23" t="s">
        <v>162</v>
      </c>
    </row>
    <row r="31" spans="1:8" ht="51">
      <c r="A31" s="16">
        <v>13</v>
      </c>
      <c r="B31" s="16" t="s">
        <v>163</v>
      </c>
      <c r="C31" s="16" t="s">
        <v>164</v>
      </c>
      <c r="D31" s="26" t="s">
        <v>165</v>
      </c>
      <c r="E31" s="16"/>
      <c r="F31" s="16"/>
      <c r="G31" s="16"/>
      <c r="H31" s="24" t="s">
        <v>166</v>
      </c>
    </row>
    <row r="32" spans="1:8" ht="38.25">
      <c r="A32" s="14">
        <v>14</v>
      </c>
      <c r="B32" s="14" t="s">
        <v>167</v>
      </c>
      <c r="C32" s="14" t="s">
        <v>168</v>
      </c>
      <c r="D32" s="26" t="s">
        <v>169</v>
      </c>
      <c r="E32" s="14"/>
      <c r="F32" s="14"/>
      <c r="G32" s="14"/>
      <c r="H32" s="23" t="s">
        <v>170</v>
      </c>
    </row>
    <row r="33" spans="1:8">
      <c r="A33" s="20">
        <v>15</v>
      </c>
      <c r="B33" s="18" t="s">
        <v>171</v>
      </c>
      <c r="C33" s="20"/>
      <c r="D33" s="20"/>
      <c r="E33" s="20"/>
      <c r="F33" s="20"/>
      <c r="G33" s="20"/>
      <c r="H33" s="21" t="s">
        <v>171</v>
      </c>
    </row>
    <row r="34" spans="1:8">
      <c r="A34" s="17">
        <v>16</v>
      </c>
      <c r="B34" s="18" t="s">
        <v>172</v>
      </c>
      <c r="C34" s="17"/>
      <c r="D34" s="17"/>
      <c r="E34" s="17"/>
      <c r="F34" s="17"/>
      <c r="G34" s="17"/>
      <c r="H34" s="19" t="s">
        <v>172</v>
      </c>
    </row>
    <row r="35" spans="1:8" ht="25.5">
      <c r="A35" s="16">
        <v>17</v>
      </c>
      <c r="B35" s="16" t="s">
        <v>173</v>
      </c>
      <c r="C35" s="16"/>
      <c r="D35" s="27" t="s">
        <v>174</v>
      </c>
      <c r="E35" s="16" t="s">
        <v>175</v>
      </c>
      <c r="F35" s="22" t="s">
        <v>133</v>
      </c>
      <c r="G35" s="16"/>
      <c r="H35" s="24" t="s">
        <v>176</v>
      </c>
    </row>
    <row r="36" spans="1:8">
      <c r="A36" s="14">
        <v>18</v>
      </c>
      <c r="B36" s="14" t="s">
        <v>177</v>
      </c>
      <c r="C36" s="14"/>
      <c r="D36" s="14" t="s">
        <v>178</v>
      </c>
      <c r="E36" s="14" t="s">
        <v>179</v>
      </c>
      <c r="F36" s="22" t="s">
        <v>129</v>
      </c>
      <c r="G36" s="14"/>
      <c r="H36" s="23" t="s">
        <v>180</v>
      </c>
    </row>
    <row r="37" spans="1:8">
      <c r="A37" s="16">
        <v>19</v>
      </c>
      <c r="B37" s="16" t="s">
        <v>181</v>
      </c>
      <c r="C37" s="16"/>
      <c r="D37" s="16"/>
      <c r="E37" s="16"/>
      <c r="F37" s="16"/>
      <c r="G37" s="22" t="s">
        <v>182</v>
      </c>
      <c r="H37" s="24" t="s">
        <v>182</v>
      </c>
    </row>
    <row r="38" spans="1:8">
      <c r="A38" s="14">
        <v>20</v>
      </c>
      <c r="B38" s="14" t="s">
        <v>183</v>
      </c>
      <c r="C38" s="14"/>
      <c r="D38" s="14"/>
      <c r="E38" s="14"/>
      <c r="F38" s="14"/>
      <c r="G38" s="22" t="s">
        <v>184</v>
      </c>
      <c r="H38" s="23" t="s">
        <v>184</v>
      </c>
    </row>
  </sheetData>
  <autoFilter ref="A18:H38"/>
  <mergeCells count="12">
    <mergeCell ref="B8:D8"/>
    <mergeCell ref="B9:D9"/>
    <mergeCell ref="A13:C13"/>
    <mergeCell ref="A14:C14"/>
    <mergeCell ref="A15:C15"/>
    <mergeCell ref="A17:G17"/>
    <mergeCell ref="A2:B2"/>
    <mergeCell ref="B3:D3"/>
    <mergeCell ref="B4:D4"/>
    <mergeCell ref="B5:D5"/>
    <mergeCell ref="B6:D6"/>
    <mergeCell ref="B7:D7"/>
  </mergeCells>
  <pageMargins left="0.75" right="0.75" top="1" bottom="1" header="0.51111111111111107" footer="0.51111111111111107"/>
  <pageSetup paperSize="9" orientation="portrait" horizontalDpi="0" verticalDpi="0"/>
  <headerFooter alignWithMargins="0"/>
</worksheet>
</file>

<file path=xl/worksheets/sheet6.xml><?xml version="1.0" encoding="utf-8"?>
<worksheet xmlns="http://schemas.openxmlformats.org/spreadsheetml/2006/main" xmlns:r="http://schemas.openxmlformats.org/officeDocument/2006/relationships">
  <dimension ref="A1:R4"/>
  <sheetViews>
    <sheetView zoomScaleSheetLayoutView="100" workbookViewId="0">
      <selection activeCell="G18" sqref="G18"/>
    </sheetView>
  </sheetViews>
  <sheetFormatPr defaultColWidth="4.375" defaultRowHeight="12.75"/>
  <cols>
    <col min="1" max="16384" width="4.375" style="1"/>
  </cols>
  <sheetData>
    <row r="1" spans="1:18" ht="15.75">
      <c r="A1" s="2" t="s">
        <v>13</v>
      </c>
    </row>
    <row r="2" spans="1:18">
      <c r="A2" s="86" t="s">
        <v>185</v>
      </c>
      <c r="B2" s="86"/>
      <c r="C2" s="86"/>
      <c r="D2" s="86"/>
      <c r="E2" s="86"/>
      <c r="F2" s="86"/>
      <c r="G2" s="86"/>
      <c r="H2" s="86"/>
      <c r="I2" s="86"/>
      <c r="J2" s="86"/>
      <c r="K2" s="86"/>
      <c r="L2" s="86"/>
      <c r="M2" s="86"/>
      <c r="N2" s="86"/>
      <c r="O2" s="86"/>
      <c r="P2" s="86"/>
      <c r="Q2" s="86"/>
      <c r="R2" s="86"/>
    </row>
    <row r="3" spans="1:18">
      <c r="A3" s="86"/>
      <c r="B3" s="86"/>
      <c r="C3" s="86"/>
      <c r="D3" s="86"/>
      <c r="E3" s="86"/>
      <c r="F3" s="86"/>
      <c r="G3" s="86"/>
      <c r="H3" s="86"/>
      <c r="I3" s="86"/>
      <c r="J3" s="86"/>
      <c r="K3" s="86"/>
      <c r="L3" s="86"/>
      <c r="M3" s="86"/>
      <c r="N3" s="86"/>
      <c r="O3" s="86"/>
      <c r="P3" s="86"/>
      <c r="Q3" s="86"/>
      <c r="R3" s="86"/>
    </row>
    <row r="4" spans="1:18">
      <c r="A4" s="1" t="s">
        <v>186</v>
      </c>
    </row>
  </sheetData>
  <mergeCells count="1">
    <mergeCell ref="A2:R3"/>
  </mergeCells>
  <pageMargins left="0.75" right="0.75" top="1" bottom="1" header="0.51111111111111107" footer="0.51111111111111107"/>
  <pageSetup paperSize="9" orientation="portrait" horizontalDpi="0" verticalDpi="0"/>
  <headerFooter alignWithMargins="0"/>
  <drawing r:id="rId1"/>
</worksheet>
</file>

<file path=xl/worksheets/sheet7.xml><?xml version="1.0" encoding="utf-8"?>
<worksheet xmlns="http://schemas.openxmlformats.org/spreadsheetml/2006/main" xmlns:r="http://schemas.openxmlformats.org/officeDocument/2006/relationships">
  <dimension ref="A1:A2"/>
  <sheetViews>
    <sheetView zoomScaleSheetLayoutView="100" workbookViewId="0">
      <selection activeCell="A3" sqref="A3"/>
    </sheetView>
  </sheetViews>
  <sheetFormatPr defaultColWidth="9" defaultRowHeight="15.75"/>
  <sheetData>
    <row r="1" spans="1:1">
      <c r="A1" t="s">
        <v>187</v>
      </c>
    </row>
    <row r="2" spans="1:1">
      <c r="A2" t="s">
        <v>188</v>
      </c>
    </row>
  </sheetData>
  <pageMargins left="0.75" right="0.75" top="1" bottom="1" header="0.51111111111111107" footer="0.51111111111111107"/>
  <pageSetup paperSize="9" orientation="portrait" horizontalDpi="0" verticalDpi="0"/>
  <headerFooter alignWithMargins="0"/>
  <drawing r:id="rId1"/>
</worksheet>
</file>

<file path=xl/worksheets/sheet8.xml><?xml version="1.0" encoding="utf-8"?>
<worksheet xmlns="http://schemas.openxmlformats.org/spreadsheetml/2006/main" xmlns:r="http://schemas.openxmlformats.org/officeDocument/2006/relationships">
  <dimension ref="A1"/>
  <sheetViews>
    <sheetView zoomScaleSheetLayoutView="100" workbookViewId="0">
      <selection activeCell="A2" sqref="A2"/>
    </sheetView>
  </sheetViews>
  <sheetFormatPr defaultColWidth="4.375" defaultRowHeight="12.75"/>
  <cols>
    <col min="1" max="16384" width="4.375" style="1"/>
  </cols>
  <sheetData>
    <row r="1" spans="1:1" ht="15.75">
      <c r="A1" s="2" t="s">
        <v>189</v>
      </c>
    </row>
  </sheetData>
  <pageMargins left="0.75" right="0.75" top="1" bottom="1" header="0.51111111111111107" footer="0.51111111111111107"/>
  <pageSetup paperSize="9" orientation="portrait" horizontalDpi="0" verticalDpi="0"/>
  <headerFooter alignWithMargins="0"/>
</worksheet>
</file>

<file path=docProps/app.xml><?xml version="1.0" encoding="utf-8"?>
<Properties xmlns="http://schemas.openxmlformats.org/officeDocument/2006/extended-properties" xmlns:vt="http://schemas.openxmlformats.org/officeDocument/2006/docPropsVTypes">
  <Template/>
  <Pages>0</Pages>
  <Words>0</Words>
  <Characters>0</Characters>
  <Application>Microsoft Excel</Application>
  <DocSecurity>0</DocSecurity>
  <PresentationFormat/>
  <Lines>0</Lines>
  <Paragraphs>0</Paragraphs>
  <Slides>0</Slides>
  <Notes>0</Notes>
  <HiddenSlides>0</HiddenSlides>
  <MMClips>0</MMClips>
  <ScaleCrop>false</ScaleCrop>
  <HeadingPairs>
    <vt:vector size="2" baseType="variant">
      <vt:variant>
        <vt:lpstr>Worksheets</vt:lpstr>
      </vt:variant>
      <vt:variant>
        <vt:i4>8</vt:i4>
      </vt:variant>
    </vt:vector>
  </HeadingPairs>
  <TitlesOfParts>
    <vt:vector size="8" baseType="lpstr">
      <vt:lpstr>Summary</vt:lpstr>
      <vt:lpstr>Power supply</vt:lpstr>
      <vt:lpstr>Heater driver</vt:lpstr>
      <vt:lpstr>Sensor amplifier</vt:lpstr>
      <vt:lpstr>uC</vt:lpstr>
      <vt:lpstr>Other</vt:lpstr>
      <vt:lpstr>Notes</vt:lpstr>
      <vt:lpstr>blank</vt:lpstr>
    </vt:vector>
  </TitlesOfParts>
  <Manager/>
  <Company/>
  <LinksUpToDate>false</LinksUpToDate>
  <CharactersWithSpaces>0</CharactersWithSpaces>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Piotr Nowicki</dc:creator>
  <cp:keywords/>
  <dc:description/>
  <cp:lastModifiedBy>Masta</cp:lastModifiedBy>
  <cp:revision/>
  <dcterms:created xsi:type="dcterms:W3CDTF">2016-04-09T07:32:19Z</dcterms:created>
  <dcterms:modified xsi:type="dcterms:W3CDTF">2017-02-25T21:08:09Z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1033-9.1.0.4746</vt:lpwstr>
  </property>
</Properties>
</file>